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Fernando\Downloads\"/>
    </mc:Choice>
  </mc:AlternateContent>
  <xr:revisionPtr revIDLastSave="0" documentId="13_ncr:1_{CB4E9AD3-1802-48C1-9D8A-296C1584F7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Risk Id" sheetId="3" r:id="rId2"/>
    <sheet name="Prioritization" sheetId="4" r:id="rId3"/>
    <sheet name="Risk Matrix" sheetId="5" r:id="rId4"/>
    <sheet name="Dur_Cost_Percentil" sheetId="7" r:id="rId5"/>
    <sheet name="Risk ranking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8" i="4" l="1"/>
  <c r="H18" i="4"/>
  <c r="J17" i="4"/>
  <c r="H17" i="4"/>
  <c r="J16" i="4"/>
  <c r="H16" i="4"/>
  <c r="J15" i="4"/>
  <c r="H15" i="4"/>
  <c r="J14" i="4"/>
  <c r="H14" i="4"/>
  <c r="J13" i="4"/>
  <c r="H13" i="4"/>
  <c r="J12" i="4"/>
  <c r="H12" i="4"/>
  <c r="J11" i="4"/>
  <c r="H11" i="4"/>
  <c r="J10" i="4"/>
  <c r="H10" i="4"/>
  <c r="J9" i="4"/>
  <c r="H9" i="4"/>
  <c r="J8" i="4"/>
  <c r="H8" i="4"/>
  <c r="J7" i="4"/>
  <c r="H7" i="4"/>
  <c r="J6" i="4"/>
  <c r="H6" i="4"/>
  <c r="J5" i="4"/>
  <c r="H5" i="4"/>
  <c r="J4" i="4"/>
  <c r="H4" i="4"/>
  <c r="G66" i="1"/>
  <c r="G63" i="1"/>
  <c r="G58" i="1"/>
  <c r="G56" i="1"/>
  <c r="G52" i="1"/>
  <c r="G50" i="1"/>
  <c r="G59" i="1"/>
  <c r="G57" i="1"/>
  <c r="G55" i="1"/>
  <c r="G53" i="1"/>
  <c r="G49" i="1"/>
  <c r="G45" i="1"/>
  <c r="G67" i="1" l="1"/>
  <c r="G48" i="1"/>
  <c r="D59" i="1"/>
  <c r="C59" i="1"/>
  <c r="E59" i="1" s="1"/>
  <c r="E58" i="1"/>
  <c r="D58" i="1"/>
  <c r="C58" i="1"/>
  <c r="C48" i="1" l="1"/>
  <c r="E48" i="1" s="1"/>
  <c r="D48" i="1" l="1"/>
  <c r="C71" i="1" l="1"/>
  <c r="G71" i="1" s="1"/>
  <c r="C70" i="1"/>
  <c r="G70" i="1" s="1"/>
  <c r="C69" i="1"/>
  <c r="G69" i="1" s="1"/>
  <c r="C68" i="1"/>
  <c r="G68" i="1" s="1"/>
  <c r="C67" i="1"/>
  <c r="C66" i="1"/>
  <c r="C65" i="1"/>
  <c r="C64" i="1"/>
  <c r="D64" i="1" s="1"/>
  <c r="C63" i="1"/>
  <c r="C62" i="1"/>
  <c r="D62" i="1" s="1"/>
  <c r="C61" i="1"/>
  <c r="C60" i="1"/>
  <c r="G60" i="1" s="1"/>
  <c r="C57" i="1"/>
  <c r="C56" i="1"/>
  <c r="D56" i="1" s="1"/>
  <c r="C55" i="1"/>
  <c r="C54" i="1"/>
  <c r="G54" i="1" s="1"/>
  <c r="C53" i="1"/>
  <c r="C52" i="1"/>
  <c r="D52" i="1" s="1"/>
  <c r="C51" i="1"/>
  <c r="G51" i="1" s="1"/>
  <c r="C50" i="1"/>
  <c r="C49" i="1"/>
  <c r="C47" i="1"/>
  <c r="C46" i="1"/>
  <c r="G46" i="1" s="1"/>
  <c r="C45" i="1"/>
  <c r="C44" i="1"/>
  <c r="D44" i="1" s="1"/>
  <c r="C43" i="1"/>
  <c r="C42" i="1"/>
  <c r="G62" i="1" l="1"/>
  <c r="G64" i="1"/>
  <c r="D70" i="1"/>
  <c r="E70" i="1"/>
  <c r="D71" i="1"/>
  <c r="E71" i="1"/>
  <c r="D68" i="1"/>
  <c r="E68" i="1"/>
  <c r="D69" i="1"/>
  <c r="E69" i="1"/>
  <c r="D66" i="1"/>
  <c r="E66" i="1"/>
  <c r="D67" i="1"/>
  <c r="E67" i="1"/>
  <c r="E64" i="1"/>
  <c r="D65" i="1"/>
  <c r="E65" i="1"/>
  <c r="G65" i="1"/>
  <c r="E62" i="1"/>
  <c r="D63" i="1"/>
  <c r="E63" i="1"/>
  <c r="E60" i="1"/>
  <c r="D60" i="1"/>
  <c r="D61" i="1"/>
  <c r="E61" i="1"/>
  <c r="G61" i="1"/>
  <c r="E56" i="1"/>
  <c r="D57" i="1"/>
  <c r="E57" i="1"/>
  <c r="E54" i="1"/>
  <c r="D54" i="1"/>
  <c r="D55" i="1"/>
  <c r="E55" i="1"/>
  <c r="D53" i="1"/>
  <c r="E53" i="1"/>
  <c r="E52" i="1"/>
  <c r="D50" i="1"/>
  <c r="E50" i="1"/>
  <c r="D51" i="1"/>
  <c r="E51" i="1"/>
  <c r="D49" i="1"/>
  <c r="E49" i="1"/>
  <c r="D46" i="1"/>
  <c r="E46" i="1"/>
  <c r="D47" i="1"/>
  <c r="E47" i="1"/>
  <c r="G47" i="1"/>
  <c r="G44" i="1"/>
  <c r="E44" i="1"/>
  <c r="D45" i="1"/>
  <c r="E45" i="1"/>
  <c r="D42" i="1"/>
  <c r="E42" i="1"/>
  <c r="G42" i="1"/>
  <c r="D43" i="1"/>
  <c r="E43" i="1"/>
  <c r="G43" i="1"/>
</calcChain>
</file>

<file path=xl/sharedStrings.xml><?xml version="1.0" encoding="utf-8"?>
<sst xmlns="http://schemas.openxmlformats.org/spreadsheetml/2006/main" count="866" uniqueCount="217">
  <si>
    <t>Actividad</t>
  </si>
  <si>
    <t>Modelo</t>
  </si>
  <si>
    <t>µ</t>
  </si>
  <si>
    <t>s</t>
  </si>
  <si>
    <t>mín</t>
  </si>
  <si>
    <t>"+prob"</t>
  </si>
  <si>
    <t>máx</t>
  </si>
  <si>
    <t>A1</t>
  </si>
  <si>
    <t>Determinista</t>
  </si>
  <si>
    <t>Uniforme</t>
  </si>
  <si>
    <t>Triangular</t>
  </si>
  <si>
    <t>Cód.</t>
  </si>
  <si>
    <t>Precedentes</t>
  </si>
  <si>
    <t>Nº de actividades:</t>
  </si>
  <si>
    <t>Nº Simulaciones Monte Carlo</t>
  </si>
  <si>
    <t>A0</t>
  </si>
  <si>
    <t>Cost_Fijo</t>
  </si>
  <si>
    <t>Cost_Var</t>
  </si>
  <si>
    <t>Slack</t>
  </si>
  <si>
    <t>RESETEAR</t>
  </si>
  <si>
    <t>Coste</t>
  </si>
  <si>
    <t>Duración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</si>
  <si>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</si>
  <si>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</si>
  <si>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</si>
  <si>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</si>
  <si>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</si>
  <si>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</si>
  <si>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</si>
  <si>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</si>
  <si>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</si>
  <si>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</si>
  <si>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</si>
  <si>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</si>
  <si>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</si>
  <si>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</si>
  <si>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</si>
  <si>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</si>
  <si>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</si>
  <si>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</si>
  <si>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</si>
  <si>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</si>
  <si>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</si>
  <si>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</si>
  <si>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</si>
  <si>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</si>
  <si>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</si>
  <si>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</si>
  <si>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</si>
  <si>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</si>
  <si>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</si>
  <si>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</si>
  <si>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</si>
  <si>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</si>
  <si>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Riesgo/Act</t>
  </si>
  <si>
    <t>P / I</t>
  </si>
  <si>
    <t>t / C</t>
  </si>
  <si>
    <t>P</t>
  </si>
  <si>
    <t>I</t>
  </si>
  <si>
    <t>t</t>
  </si>
  <si>
    <t>R1</t>
  </si>
  <si>
    <t>A34</t>
  </si>
  <si>
    <t>R2</t>
  </si>
  <si>
    <t>A35</t>
  </si>
  <si>
    <t>R3</t>
  </si>
  <si>
    <t>A36</t>
  </si>
  <si>
    <t>R4</t>
  </si>
  <si>
    <t>A37</t>
  </si>
  <si>
    <t>R5</t>
  </si>
  <si>
    <t>A38</t>
  </si>
  <si>
    <t>R6</t>
  </si>
  <si>
    <t>A39</t>
  </si>
  <si>
    <t>R7</t>
  </si>
  <si>
    <t>A40</t>
  </si>
  <si>
    <t>R8</t>
  </si>
  <si>
    <t>Af</t>
  </si>
  <si>
    <t>C</t>
  </si>
  <si>
    <t>R. Coste1</t>
  </si>
  <si>
    <t>R9</t>
  </si>
  <si>
    <t>R. Coste2</t>
  </si>
  <si>
    <t>R10</t>
  </si>
  <si>
    <t>R. Coste3</t>
  </si>
  <si>
    <t>R11</t>
  </si>
  <si>
    <t>R. Coste4</t>
  </si>
  <si>
    <t>R12</t>
  </si>
  <si>
    <t>R. Coste5</t>
  </si>
  <si>
    <t>R13</t>
  </si>
  <si>
    <t>R. Coste6</t>
  </si>
  <si>
    <t>R14</t>
  </si>
  <si>
    <t>En la celda sombreada de color ROJO se debe poner la DURACIÓN VARIABLE correspondiente a la actividad que afecta ese riesgo de duración</t>
  </si>
  <si>
    <t>En cada celda sombreada de color AZUL se debe poner el Número de la ACTIVIDAD correspondiente afectada por este riesgo de Duración y/o Coste</t>
  </si>
  <si>
    <t>X</t>
  </si>
  <si>
    <t>R15</t>
  </si>
  <si>
    <t>A41</t>
  </si>
  <si>
    <t>R_Dur</t>
  </si>
  <si>
    <t>Engineering</t>
  </si>
  <si>
    <t>MB</t>
  </si>
  <si>
    <t>-</t>
  </si>
  <si>
    <t>B</t>
  </si>
  <si>
    <t>5-20</t>
  </si>
  <si>
    <t>6</t>
  </si>
  <si>
    <t>RC_1</t>
  </si>
  <si>
    <t>A</t>
  </si>
  <si>
    <t>100-750</t>
  </si>
  <si>
    <t>M</t>
  </si>
  <si>
    <t>20-50</t>
  </si>
  <si>
    <t>2</t>
  </si>
  <si>
    <t>RC_2</t>
  </si>
  <si>
    <t>Procurement</t>
  </si>
  <si>
    <t>750-2500</t>
  </si>
  <si>
    <t>8</t>
  </si>
  <si>
    <t>RC_3</t>
  </si>
  <si>
    <t>50-75</t>
  </si>
  <si>
    <t>13</t>
  </si>
  <si>
    <t>12</t>
  </si>
  <si>
    <t>Health and safety hazards</t>
  </si>
  <si>
    <t>Construction</t>
  </si>
  <si>
    <t>20</t>
  </si>
  <si>
    <t>RC_4</t>
  </si>
  <si>
    <t>26</t>
  </si>
  <si>
    <t>RC_5</t>
  </si>
  <si>
    <t>0-100</t>
  </si>
  <si>
    <t>30</t>
  </si>
  <si>
    <t>28</t>
  </si>
  <si>
    <t>23</t>
  </si>
  <si>
    <t>RC_6</t>
  </si>
  <si>
    <t>2500-6000</t>
  </si>
  <si>
    <t>31</t>
  </si>
  <si>
    <t>0-5</t>
  </si>
  <si>
    <t>0-3</t>
  </si>
  <si>
    <t>3-10</t>
  </si>
  <si>
    <t>10-30</t>
  </si>
  <si>
    <t>&gt;6000</t>
  </si>
  <si>
    <t>&gt;75</t>
  </si>
  <si>
    <t>30-50</t>
  </si>
  <si>
    <t>50-100</t>
  </si>
  <si>
    <t>Ranking_Dur</t>
  </si>
  <si>
    <t>Ranking_Cost</t>
  </si>
  <si>
    <t>1_d</t>
  </si>
  <si>
    <t>2_d</t>
  </si>
  <si>
    <t>3_d</t>
  </si>
  <si>
    <t>4_d</t>
  </si>
  <si>
    <t>5_d</t>
  </si>
  <si>
    <t>6_d</t>
  </si>
  <si>
    <t>7_d</t>
  </si>
  <si>
    <t>8_d</t>
  </si>
  <si>
    <t>9_d</t>
  </si>
  <si>
    <t>RC1</t>
  </si>
  <si>
    <t>2_c</t>
  </si>
  <si>
    <t>RC2</t>
  </si>
  <si>
    <t>3_c</t>
  </si>
  <si>
    <t>RC3</t>
  </si>
  <si>
    <t>4_c</t>
  </si>
  <si>
    <t>RC4</t>
  </si>
  <si>
    <t>7_c</t>
  </si>
  <si>
    <t>RC5</t>
  </si>
  <si>
    <t>8_c</t>
  </si>
  <si>
    <t>RC6</t>
  </si>
  <si>
    <t>10_c</t>
  </si>
  <si>
    <t>Probability</t>
  </si>
  <si>
    <t>%</t>
  </si>
  <si>
    <t>Very High (VH)</t>
  </si>
  <si>
    <t>High (H)</t>
  </si>
  <si>
    <t>Medium (M)</t>
  </si>
  <si>
    <t>Low (L)</t>
  </si>
  <si>
    <t>Very Low (VL)</t>
  </si>
  <si>
    <r>
      <t xml:space="preserve">Impact Duration </t>
    </r>
    <r>
      <rPr>
        <sz val="11"/>
        <color theme="1"/>
        <rFont val="Calibri"/>
        <family val="2"/>
        <scheme val="minor"/>
      </rPr>
      <t>(days)</t>
    </r>
  </si>
  <si>
    <t>&gt; 6000</t>
  </si>
  <si>
    <r>
      <t xml:space="preserve">Impact Cost </t>
    </r>
    <r>
      <rPr>
        <sz val="11"/>
        <color theme="1"/>
        <rFont val="Calibri"/>
        <family val="2"/>
        <scheme val="minor"/>
      </rPr>
      <t>(x1000 monetary units)</t>
    </r>
  </si>
  <si>
    <t>Risk Prioritization</t>
  </si>
  <si>
    <t>PxI</t>
  </si>
  <si>
    <t>Risk Rating</t>
  </si>
  <si>
    <t>Medium</t>
  </si>
  <si>
    <t>Low</t>
  </si>
  <si>
    <t>Activity</t>
  </si>
  <si>
    <t>Technical complexity of the engineering project</t>
  </si>
  <si>
    <t>Change of requirements in the project</t>
  </si>
  <si>
    <t>Inadequate supplier management</t>
  </si>
  <si>
    <t>Supply chain disruptions</t>
  </si>
  <si>
    <t>Inaccurate internal needs analysis</t>
  </si>
  <si>
    <t>Adverse weather conditions</t>
  </si>
  <si>
    <t>Difficulties in obtaining permits and licences</t>
  </si>
  <si>
    <t>Availability of skilled labour</t>
  </si>
  <si>
    <t>Availability of construction materials on time</t>
  </si>
  <si>
    <t>Changes in the price of raw materials</t>
  </si>
  <si>
    <t>R_Cost</t>
  </si>
  <si>
    <t>Phase</t>
  </si>
  <si>
    <t>PROBABILITY</t>
  </si>
  <si>
    <t>COST IMPACT</t>
  </si>
  <si>
    <t>TIME IMPACT</t>
  </si>
  <si>
    <t>ACTIVITY AFFECTED</t>
  </si>
  <si>
    <t>EXPLANATION</t>
  </si>
  <si>
    <t>Technical complexity in the engineering phase. Complexity in the drafting of the technical project. Complexity due to the novelty of the project to be executed.</t>
  </si>
  <si>
    <t>Changes proposed by the promoter</t>
  </si>
  <si>
    <t>Microchips; Suez Canal</t>
  </si>
  <si>
    <t>Waste (asbestos), seepage, soil type problems, …</t>
  </si>
  <si>
    <t>L</t>
  </si>
  <si>
    <t>VL</t>
  </si>
  <si>
    <t>H</t>
  </si>
  <si>
    <t>VERY LOW (VL)</t>
  </si>
  <si>
    <t>LOW  (L)</t>
  </si>
  <si>
    <t>MEDIUM (M)</t>
  </si>
  <si>
    <t>HIGH  (H)</t>
  </si>
  <si>
    <t>VERY HIGH (VH)</t>
  </si>
  <si>
    <t>LEVEL</t>
  </si>
  <si>
    <t>INTERVAL (%)</t>
  </si>
  <si>
    <t>Prioritisation</t>
  </si>
  <si>
    <t>Row</t>
  </si>
  <si>
    <t>Duration_with_Ri</t>
  </si>
  <si>
    <t>Cost_with_Ri</t>
  </si>
  <si>
    <t>Difference_Duration_with_Ri</t>
  </si>
  <si>
    <t>Difference_Cost_with_Ri</t>
  </si>
  <si>
    <t>Percentile</t>
  </si>
  <si>
    <t>Duration</t>
  </si>
  <si>
    <t>Cost</t>
  </si>
  <si>
    <t>RISK</t>
  </si>
  <si>
    <t>RISK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</si>
</sst>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Symbol"/>
      <family val="1"/>
      <charset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0000FF"/>
      <name val="Calibri"/>
      <family val="2"/>
    </font>
    <font>
      <b/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4"/>
      <name val="Calibri"/>
      <family val="2"/>
      <scheme val="minor"/>
    </font>
    <font>
      <b/>
      <sz val="16"/>
      <color rgb="FF0000FF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11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B7B7"/>
        <bgColor indexed="64"/>
      </patternFill>
    </fill>
    <fill>
      <patternFill patternType="solid">
        <fgColor rgb="FF97C1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54">
    <border>
      <left/>
      <right/>
      <top/>
      <bottom/>
      <diagonal/>
    </border>
    <border>
      <left style="thin">
        <color rgb="FF002060"/>
      </left>
      <right style="thin">
        <color rgb="FF002060"/>
      </right>
      <top style="double">
        <color rgb="FF002060"/>
      </top>
      <bottom style="thick">
        <color rgb="FF002060"/>
      </bottom>
      <diagonal/>
    </border>
    <border>
      <left style="thin">
        <color rgb="FF002060"/>
      </left>
      <right/>
      <top style="double">
        <color rgb="FF002060"/>
      </top>
      <bottom style="thick">
        <color rgb="FF002060"/>
      </bottom>
      <diagonal/>
    </border>
    <border>
      <left style="double">
        <color rgb="FF002060"/>
      </left>
      <right/>
      <top/>
      <bottom/>
      <diagonal/>
    </border>
    <border>
      <left/>
      <right style="thin">
        <color rgb="FF002060"/>
      </right>
      <top style="thick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ck">
        <color rgb="FF002060"/>
      </top>
      <bottom style="thin">
        <color rgb="FF002060"/>
      </bottom>
      <diagonal/>
    </border>
    <border>
      <left style="thin">
        <color rgb="FF002060"/>
      </left>
      <right/>
      <top style="thick">
        <color rgb="FF002060"/>
      </top>
      <bottom style="thin">
        <color rgb="FF00206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rgb="FF002060"/>
      </left>
      <right/>
      <top style="thick">
        <color rgb="FF002060"/>
      </top>
      <bottom style="double">
        <color rgb="FF002060"/>
      </bottom>
      <diagonal/>
    </border>
    <border>
      <left/>
      <right/>
      <top style="thick">
        <color rgb="FF002060"/>
      </top>
      <bottom style="double">
        <color rgb="FF002060"/>
      </bottom>
      <diagonal/>
    </border>
    <border>
      <left/>
      <right style="thick">
        <color rgb="FF002060"/>
      </right>
      <top style="thick">
        <color rgb="FF002060"/>
      </top>
      <bottom style="double">
        <color rgb="FF002060"/>
      </bottom>
      <diagonal/>
    </border>
    <border>
      <left/>
      <right/>
      <top style="double">
        <color rgb="FF002060"/>
      </top>
      <bottom style="thick">
        <color rgb="FF002060"/>
      </bottom>
      <diagonal/>
    </border>
    <border>
      <left/>
      <right/>
      <top style="thick">
        <color rgb="FF002060"/>
      </top>
      <bottom style="thin">
        <color rgb="FF00206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auto="1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21" fillId="0" borderId="0"/>
  </cellStyleXfs>
  <cellXfs count="13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2" borderId="1" xfId="0" applyFont="1" applyFill="1" applyBorder="1" applyAlignment="1">
      <alignment horizontal="right" vertical="center"/>
    </xf>
    <xf numFmtId="0" fontId="0" fillId="0" borderId="3" xfId="0" applyBorder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wrapText="1"/>
    </xf>
    <xf numFmtId="0" fontId="11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0" fillId="4" borderId="5" xfId="0" applyFill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8" borderId="13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0" fillId="10" borderId="3" xfId="0" applyFill="1" applyBorder="1" applyAlignment="1">
      <alignment horizontal="right"/>
    </xf>
    <xf numFmtId="0" fontId="0" fillId="11" borderId="3" xfId="0" applyFill="1" applyBorder="1" applyAlignment="1">
      <alignment horizontal="right"/>
    </xf>
    <xf numFmtId="0" fontId="0" fillId="12" borderId="3" xfId="0" applyFill="1" applyBorder="1" applyAlignment="1">
      <alignment horizontal="right"/>
    </xf>
    <xf numFmtId="0" fontId="2" fillId="14" borderId="18" xfId="0" applyFont="1" applyFill="1" applyBorder="1"/>
    <xf numFmtId="0" fontId="2" fillId="14" borderId="19" xfId="0" applyFont="1" applyFill="1" applyBorder="1" applyAlignment="1">
      <alignment horizontal="center"/>
    </xf>
    <xf numFmtId="0" fontId="2" fillId="14" borderId="16" xfId="0" applyFont="1" applyFill="1" applyBorder="1" applyAlignment="1">
      <alignment horizontal="center"/>
    </xf>
    <xf numFmtId="0" fontId="2" fillId="14" borderId="20" xfId="0" applyFont="1" applyFill="1" applyBorder="1" applyAlignment="1">
      <alignment horizontal="center" wrapText="1"/>
    </xf>
    <xf numFmtId="0" fontId="2" fillId="14" borderId="21" xfId="0" applyFont="1" applyFill="1" applyBorder="1"/>
    <xf numFmtId="0" fontId="0" fillId="15" borderId="23" xfId="0" applyFill="1" applyBorder="1" applyAlignment="1">
      <alignment horizontal="center"/>
    </xf>
    <xf numFmtId="0" fontId="14" fillId="15" borderId="24" xfId="0" applyFont="1" applyFill="1" applyBorder="1" applyAlignment="1">
      <alignment horizontal="center"/>
    </xf>
    <xf numFmtId="49" fontId="0" fillId="15" borderId="25" xfId="0" applyNumberFormat="1" applyFill="1" applyBorder="1" applyAlignment="1">
      <alignment horizontal="center"/>
    </xf>
    <xf numFmtId="0" fontId="0" fillId="16" borderId="23" xfId="0" applyFill="1" applyBorder="1" applyAlignment="1">
      <alignment horizontal="center"/>
    </xf>
    <xf numFmtId="49" fontId="0" fillId="17" borderId="25" xfId="0" applyNumberFormat="1" applyFill="1" applyBorder="1" applyAlignment="1">
      <alignment horizontal="center" vertical="center"/>
    </xf>
    <xf numFmtId="0" fontId="0" fillId="15" borderId="26" xfId="0" applyFill="1" applyBorder="1"/>
    <xf numFmtId="0" fontId="0" fillId="15" borderId="27" xfId="0" applyFill="1" applyBorder="1" applyAlignment="1">
      <alignment horizontal="center"/>
    </xf>
    <xf numFmtId="0" fontId="14" fillId="15" borderId="28" xfId="0" applyFont="1" applyFill="1" applyBorder="1" applyAlignment="1">
      <alignment horizontal="center"/>
    </xf>
    <xf numFmtId="49" fontId="0" fillId="15" borderId="29" xfId="0" applyNumberFormat="1" applyFill="1" applyBorder="1" applyAlignment="1">
      <alignment horizontal="center"/>
    </xf>
    <xf numFmtId="0" fontId="14" fillId="16" borderId="27" xfId="0" applyFont="1" applyFill="1" applyBorder="1" applyAlignment="1">
      <alignment horizontal="center"/>
    </xf>
    <xf numFmtId="49" fontId="14" fillId="15" borderId="29" xfId="0" applyNumberFormat="1" applyFont="1" applyFill="1" applyBorder="1" applyAlignment="1">
      <alignment horizontal="center"/>
    </xf>
    <xf numFmtId="49" fontId="0" fillId="17" borderId="29" xfId="0" quotePrefix="1" applyNumberFormat="1" applyFill="1" applyBorder="1" applyAlignment="1">
      <alignment horizontal="center" vertical="center"/>
    </xf>
    <xf numFmtId="0" fontId="0" fillId="15" borderId="30" xfId="0" quotePrefix="1" applyFill="1" applyBorder="1"/>
    <xf numFmtId="0" fontId="14" fillId="15" borderId="27" xfId="0" applyFont="1" applyFill="1" applyBorder="1" applyAlignment="1">
      <alignment horizontal="center"/>
    </xf>
    <xf numFmtId="49" fontId="14" fillId="17" borderId="29" xfId="0" applyNumberFormat="1" applyFont="1" applyFill="1" applyBorder="1" applyAlignment="1">
      <alignment horizontal="center" vertical="center"/>
    </xf>
    <xf numFmtId="0" fontId="0" fillId="16" borderId="27" xfId="0" applyFill="1" applyBorder="1" applyAlignment="1">
      <alignment horizontal="center"/>
    </xf>
    <xf numFmtId="49" fontId="0" fillId="15" borderId="31" xfId="0" applyNumberFormat="1" applyFill="1" applyBorder="1" applyAlignment="1">
      <alignment horizontal="center"/>
    </xf>
    <xf numFmtId="0" fontId="0" fillId="15" borderId="27" xfId="0" quotePrefix="1" applyFill="1" applyBorder="1" applyAlignment="1">
      <alignment horizontal="center"/>
    </xf>
    <xf numFmtId="49" fontId="0" fillId="15" borderId="29" xfId="0" quotePrefix="1" applyNumberFormat="1" applyFill="1" applyBorder="1" applyAlignment="1">
      <alignment horizontal="center"/>
    </xf>
    <xf numFmtId="0" fontId="0" fillId="15" borderId="30" xfId="0" applyFill="1" applyBorder="1"/>
    <xf numFmtId="0" fontId="0" fillId="15" borderId="33" xfId="0" applyFill="1" applyBorder="1" applyAlignment="1">
      <alignment horizontal="center"/>
    </xf>
    <xf numFmtId="0" fontId="14" fillId="15" borderId="34" xfId="0" applyFont="1" applyFill="1" applyBorder="1" applyAlignment="1">
      <alignment horizontal="center"/>
    </xf>
    <xf numFmtId="49" fontId="0" fillId="15" borderId="35" xfId="0" applyNumberFormat="1" applyFill="1" applyBorder="1" applyAlignment="1">
      <alignment horizontal="center"/>
    </xf>
    <xf numFmtId="49" fontId="0" fillId="17" borderId="35" xfId="0" applyNumberFormat="1" applyFill="1" applyBorder="1" applyAlignment="1">
      <alignment horizontal="center" vertical="center"/>
    </xf>
    <xf numFmtId="0" fontId="0" fillId="15" borderId="21" xfId="0" applyFill="1" applyBorder="1"/>
    <xf numFmtId="0" fontId="0" fillId="0" borderId="0" xfId="0" quotePrefix="1"/>
    <xf numFmtId="0" fontId="2" fillId="19" borderId="18" xfId="0" applyFont="1" applyFill="1" applyBorder="1"/>
    <xf numFmtId="0" fontId="2" fillId="19" borderId="21" xfId="0" applyFont="1" applyFill="1" applyBorder="1" applyAlignment="1">
      <alignment horizontal="center"/>
    </xf>
    <xf numFmtId="0" fontId="0" fillId="11" borderId="36" xfId="0" applyFill="1" applyBorder="1"/>
    <xf numFmtId="0" fontId="0" fillId="11" borderId="37" xfId="0" applyFill="1" applyBorder="1" applyAlignment="1">
      <alignment horizontal="center"/>
    </xf>
    <xf numFmtId="0" fontId="0" fillId="11" borderId="38" xfId="0" applyFill="1" applyBorder="1"/>
    <xf numFmtId="0" fontId="0" fillId="11" borderId="30" xfId="0" quotePrefix="1" applyFill="1" applyBorder="1" applyAlignment="1">
      <alignment horizontal="center"/>
    </xf>
    <xf numFmtId="17" fontId="0" fillId="11" borderId="30" xfId="0" quotePrefix="1" applyNumberFormat="1" applyFill="1" applyBorder="1" applyAlignment="1">
      <alignment horizontal="center"/>
    </xf>
    <xf numFmtId="0" fontId="0" fillId="11" borderId="39" xfId="0" applyFill="1" applyBorder="1"/>
    <xf numFmtId="0" fontId="0" fillId="11" borderId="40" xfId="0" quotePrefix="1" applyFill="1" applyBorder="1" applyAlignment="1">
      <alignment horizontal="center"/>
    </xf>
    <xf numFmtId="0" fontId="0" fillId="0" borderId="0" xfId="0" applyAlignment="1">
      <alignment vertical="center"/>
    </xf>
    <xf numFmtId="0" fontId="2" fillId="21" borderId="41" xfId="0" applyFont="1" applyFill="1" applyBorder="1"/>
    <xf numFmtId="0" fontId="2" fillId="21" borderId="42" xfId="0" applyFont="1" applyFill="1" applyBorder="1" applyAlignment="1">
      <alignment horizontal="center"/>
    </xf>
    <xf numFmtId="0" fontId="0" fillId="10" borderId="43" xfId="0" applyFill="1" applyBorder="1" applyAlignment="1">
      <alignment horizontal="center"/>
    </xf>
    <xf numFmtId="0" fontId="0" fillId="10" borderId="14" xfId="0" quotePrefix="1" applyFill="1" applyBorder="1" applyAlignment="1">
      <alignment horizontal="center"/>
    </xf>
    <xf numFmtId="0" fontId="0" fillId="10" borderId="45" xfId="0" applyFill="1" applyBorder="1" applyAlignment="1">
      <alignment horizontal="center"/>
    </xf>
    <xf numFmtId="0" fontId="2" fillId="23" borderId="41" xfId="0" applyFont="1" applyFill="1" applyBorder="1"/>
    <xf numFmtId="0" fontId="2" fillId="23" borderId="42" xfId="0" applyFont="1" applyFill="1" applyBorder="1" applyAlignment="1">
      <alignment horizontal="center"/>
    </xf>
    <xf numFmtId="0" fontId="0" fillId="24" borderId="36" xfId="0" applyFill="1" applyBorder="1"/>
    <xf numFmtId="0" fontId="0" fillId="24" borderId="43" xfId="0" applyFill="1" applyBorder="1" applyAlignment="1">
      <alignment horizontal="center"/>
    </xf>
    <xf numFmtId="0" fontId="0" fillId="0" borderId="0" xfId="0" applyAlignment="1">
      <alignment horizontal="right" vertical="center"/>
    </xf>
    <xf numFmtId="0" fontId="0" fillId="24" borderId="38" xfId="0" applyFill="1" applyBorder="1"/>
    <xf numFmtId="0" fontId="0" fillId="24" borderId="14" xfId="0" quotePrefix="1" applyFill="1" applyBorder="1" applyAlignment="1">
      <alignment horizontal="center"/>
    </xf>
    <xf numFmtId="49" fontId="0" fillId="0" borderId="0" xfId="0" applyNumberFormat="1" applyAlignment="1">
      <alignment horizontal="right" vertical="center"/>
    </xf>
    <xf numFmtId="0" fontId="0" fillId="24" borderId="39" xfId="0" applyFill="1" applyBorder="1"/>
    <xf numFmtId="0" fontId="0" fillId="24" borderId="45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18" fillId="11" borderId="16" xfId="0" applyFont="1" applyFill="1" applyBorder="1"/>
    <xf numFmtId="2" fontId="0" fillId="0" borderId="49" xfId="0" applyNumberForma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50" xfId="0" applyNumberFormat="1" applyBorder="1" applyAlignment="1">
      <alignment horizontal="center" vertical="center"/>
    </xf>
    <xf numFmtId="2" fontId="0" fillId="0" borderId="51" xfId="0" applyNumberFormat="1" applyBorder="1" applyAlignment="1">
      <alignment horizontal="center" vertical="center"/>
    </xf>
    <xf numFmtId="2" fontId="0" fillId="0" borderId="52" xfId="0" applyNumberFormat="1" applyBorder="1" applyAlignment="1">
      <alignment horizontal="center" vertical="center"/>
    </xf>
    <xf numFmtId="2" fontId="0" fillId="0" borderId="22" xfId="0" applyNumberFormat="1" applyBorder="1" applyAlignment="1">
      <alignment horizontal="center" vertical="center"/>
    </xf>
    <xf numFmtId="0" fontId="0" fillId="24" borderId="47" xfId="0" applyFill="1" applyBorder="1" applyAlignment="1">
      <alignment horizontal="center"/>
    </xf>
    <xf numFmtId="0" fontId="0" fillId="24" borderId="47" xfId="0" quotePrefix="1" applyFill="1" applyBorder="1" applyAlignment="1">
      <alignment horizontal="center"/>
    </xf>
    <xf numFmtId="0" fontId="0" fillId="10" borderId="47" xfId="0" applyFill="1" applyBorder="1" applyAlignment="1">
      <alignment horizontal="center"/>
    </xf>
    <xf numFmtId="0" fontId="0" fillId="10" borderId="47" xfId="0" quotePrefix="1" applyFill="1" applyBorder="1" applyAlignment="1">
      <alignment horizontal="center"/>
    </xf>
    <xf numFmtId="0" fontId="18" fillId="24" borderId="47" xfId="0" applyFont="1" applyFill="1" applyBorder="1" applyAlignment="1">
      <alignment horizontal="center" vertical="center" wrapText="1"/>
    </xf>
    <xf numFmtId="0" fontId="1" fillId="10" borderId="47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0" fillId="11" borderId="16" xfId="0" applyFill="1" applyBorder="1" applyAlignment="1">
      <alignment horizontal="center" vertical="center"/>
    </xf>
    <xf numFmtId="2" fontId="19" fillId="25" borderId="0" xfId="0" applyNumberFormat="1" applyFont="1" applyFill="1" applyAlignment="1">
      <alignment horizontal="center" vertical="center"/>
    </xf>
    <xf numFmtId="0" fontId="0" fillId="11" borderId="16" xfId="0" quotePrefix="1" applyFill="1" applyBorder="1" applyAlignment="1">
      <alignment horizontal="center" vertical="center"/>
    </xf>
    <xf numFmtId="2" fontId="19" fillId="25" borderId="0" xfId="0" quotePrefix="1" applyNumberFormat="1" applyFont="1" applyFill="1" applyAlignment="1">
      <alignment horizontal="center" vertical="center"/>
    </xf>
    <xf numFmtId="0" fontId="19" fillId="25" borderId="0" xfId="0" applyFont="1" applyFill="1" applyAlignment="1">
      <alignment horizontal="center" vertical="center"/>
    </xf>
    <xf numFmtId="0" fontId="20" fillId="0" borderId="22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20" fillId="0" borderId="32" xfId="0" applyFont="1" applyBorder="1" applyAlignment="1">
      <alignment vertical="center"/>
    </xf>
    <xf numFmtId="0" fontId="21" fillId="0" borderId="0" xfId="1"/>
    <xf numFmtId="0" fontId="10" fillId="5" borderId="9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0" fillId="0" borderId="44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5" fillId="13" borderId="15" xfId="0" applyFont="1" applyFill="1" applyBorder="1" applyAlignment="1">
      <alignment horizontal="center"/>
    </xf>
    <xf numFmtId="0" fontId="15" fillId="13" borderId="16" xfId="0" applyFont="1" applyFill="1" applyBorder="1" applyAlignment="1">
      <alignment horizontal="center"/>
    </xf>
    <xf numFmtId="0" fontId="15" fillId="13" borderId="17" xfId="0" applyFont="1" applyFill="1" applyBorder="1" applyAlignment="1">
      <alignment horizontal="center"/>
    </xf>
    <xf numFmtId="0" fontId="2" fillId="14" borderId="16" xfId="0" applyFont="1" applyFill="1" applyBorder="1" applyAlignment="1">
      <alignment horizontal="center" wrapText="1"/>
    </xf>
    <xf numFmtId="0" fontId="15" fillId="18" borderId="15" xfId="0" applyFont="1" applyFill="1" applyBorder="1" applyAlignment="1">
      <alignment horizontal="center"/>
    </xf>
    <xf numFmtId="0" fontId="15" fillId="18" borderId="17" xfId="0" applyFont="1" applyFill="1" applyBorder="1" applyAlignment="1">
      <alignment horizontal="center"/>
    </xf>
    <xf numFmtId="0" fontId="15" fillId="20" borderId="15" xfId="0" applyFont="1" applyFill="1" applyBorder="1" applyAlignment="1">
      <alignment horizontal="center"/>
    </xf>
    <xf numFmtId="0" fontId="15" fillId="20" borderId="16" xfId="0" applyFont="1" applyFill="1" applyBorder="1" applyAlignment="1">
      <alignment horizontal="center"/>
    </xf>
    <xf numFmtId="0" fontId="15" fillId="22" borderId="15" xfId="0" applyFont="1" applyFill="1" applyBorder="1" applyAlignment="1">
      <alignment horizontal="center"/>
    </xf>
    <xf numFmtId="0" fontId="15" fillId="22" borderId="16" xfId="0" applyFont="1" applyFill="1" applyBorder="1" applyAlignment="1">
      <alignment horizontal="center"/>
    </xf>
    <xf numFmtId="0" fontId="2" fillId="24" borderId="0" xfId="0" applyFont="1" applyFill="1" applyAlignment="1">
      <alignment horizontal="center" vertical="center"/>
    </xf>
    <xf numFmtId="0" fontId="2" fillId="24" borderId="53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CE55F528-5889-4D4C-98B8-C8476B0F562D}"/>
  </cellStyles>
  <dxfs count="13">
    <dxf>
      <fill>
        <patternFill>
          <bgColor theme="9" tint="0.79998168889431442"/>
        </patternFill>
      </fill>
    </dxf>
    <dxf>
      <fill>
        <patternFill>
          <bgColor rgb="FFFFD9D9"/>
        </patternFill>
      </fill>
    </dxf>
    <dxf>
      <fill>
        <patternFill>
          <bgColor theme="9" tint="0.79998168889431442"/>
        </patternFill>
      </fill>
    </dxf>
    <dxf>
      <fill>
        <patternFill>
          <bgColor rgb="FFFFD9D9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theme="1"/>
        </patternFill>
      </fill>
    </dxf>
    <dxf>
      <font>
        <color auto="1"/>
      </font>
      <fill>
        <patternFill>
          <bgColor theme="1"/>
        </patternFill>
      </fill>
    </dxf>
    <dxf>
      <fill>
        <patternFill>
          <bgColor rgb="FFFF8F8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auto="1"/>
      </font>
      <fill>
        <patternFill>
          <bgColor theme="1"/>
        </patternFill>
      </fill>
    </dxf>
    <dxf>
      <fill>
        <patternFill>
          <bgColor rgb="FFFF8F8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E5E5"/>
      <color rgb="FFFFCDCD"/>
      <color rgb="FFFF8F8F"/>
      <color rgb="FF97C1FF"/>
      <color rgb="FFFFB7B7"/>
      <color rgb="FF0099FF"/>
      <color rgb="FF0000FF"/>
      <color rgb="FFFFFF99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0</xdr:colOff>
          <xdr:row>0</xdr:row>
          <xdr:rowOff>0</xdr:rowOff>
        </xdr:from>
        <xdr:to>
          <xdr:col>5</xdr:col>
          <xdr:colOff>480060</xdr:colOff>
          <xdr:row>1</xdr:row>
          <xdr:rowOff>0</xdr:rowOff>
        </xdr:to>
        <xdr:sp macro="" textlink="">
          <xdr:nvSpPr>
            <xdr:cNvPr id="2052" name="Button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s-ES" sz="1100" b="1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Generar Actividades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5</xdr:col>
      <xdr:colOff>68036</xdr:colOff>
      <xdr:row>1</xdr:row>
      <xdr:rowOff>190499</xdr:rowOff>
    </xdr:from>
    <xdr:to>
      <xdr:col>5</xdr:col>
      <xdr:colOff>493685</xdr:colOff>
      <xdr:row>3</xdr:row>
      <xdr:rowOff>21788</xdr:rowOff>
    </xdr:to>
    <xdr:pic macro="[0]!Restablecer_Tabla"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11386" y="523874"/>
          <a:ext cx="425649" cy="425649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30480</xdr:colOff>
          <xdr:row>0</xdr:row>
          <xdr:rowOff>0</xdr:rowOff>
        </xdr:from>
        <xdr:to>
          <xdr:col>13</xdr:col>
          <xdr:colOff>495300</xdr:colOff>
          <xdr:row>1</xdr:row>
          <xdr:rowOff>0</xdr:rowOff>
        </xdr:to>
        <xdr:sp macro="" textlink="">
          <xdr:nvSpPr>
            <xdr:cNvPr id="2053" name="Button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s-ES" sz="1100" b="1" i="0" u="none" strike="noStrike" baseline="0">
                  <a:solidFill>
                    <a:srgbClr val="FF0000"/>
                  </a:solidFill>
                  <a:latin typeface="Calibri"/>
                  <a:ea typeface="Calibri"/>
                  <a:cs typeface="Calibri"/>
                </a:rPr>
                <a:t>Generar Riesgos Duracion 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30480</xdr:colOff>
          <xdr:row>2</xdr:row>
          <xdr:rowOff>0</xdr:rowOff>
        </xdr:from>
        <xdr:to>
          <xdr:col>13</xdr:col>
          <xdr:colOff>495300</xdr:colOff>
          <xdr:row>2</xdr:row>
          <xdr:rowOff>335280</xdr:rowOff>
        </xdr:to>
        <xdr:sp macro="" textlink="">
          <xdr:nvSpPr>
            <xdr:cNvPr id="2054" name="Button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0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s-ES" sz="1100" b="1" i="0" u="none" strike="noStrike" baseline="0">
                  <a:solidFill>
                    <a:srgbClr val="0000FF"/>
                  </a:solidFill>
                  <a:latin typeface="Calibri"/>
                  <a:ea typeface="Calibri"/>
                  <a:cs typeface="Calibri"/>
                </a:rPr>
                <a:t>Generar Riesgos Coste 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0</xdr:colOff>
      <xdr:row>75</xdr:row>
      <xdr:rowOff>114300</xdr:rowOff>
    </xdr:from>
    <xdr:to>
      <xdr:col>16</xdr:col>
      <xdr:colOff>628061</xdr:colOff>
      <xdr:row>109</xdr:row>
      <xdr:rowOff>137068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83100"/>
          <a:ext cx="12867686" cy="65111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WW73"/>
  <sheetViews>
    <sheetView showGridLines="0" tabSelected="1" zoomScale="70" zoomScaleNormal="70" workbookViewId="0">
      <selection activeCell="N53" sqref="N53"/>
    </sheetView>
  </sheetViews>
  <sheetFormatPr baseColWidth="10" defaultRowHeight="14.4" x14ac:dyDescent="0.3"/>
  <cols>
    <col min="1" max="1" width="18.6640625" customWidth="1"/>
    <col min="2" max="2" width="12.5546875" bestFit="1" customWidth="1"/>
    <col min="3" max="3" width="5" bestFit="1" customWidth="1"/>
    <col min="13" max="13" width="11.44140625" style="13"/>
    <col min="14" max="14" width="12.109375" style="10" bestFit="1" customWidth="1"/>
    <col min="16" max="16" width="9.33203125" customWidth="1"/>
    <col min="17" max="17" width="13.33203125" bestFit="1" customWidth="1"/>
    <col min="20" max="20" width="11.44140625" style="13"/>
    <col min="21" max="21" width="11.44140625" style="5"/>
    <col min="22" max="61" width="6.5546875" style="25" customWidth="1"/>
    <col min="62" max="64" width="6.33203125" style="25" customWidth="1"/>
    <col min="65" max="621" width="11.44140625" style="25"/>
  </cols>
  <sheetData>
    <row r="1" spans="1:621" ht="26.25" customHeight="1" thickBot="1" x14ac:dyDescent="0.35">
      <c r="A1" s="11" t="s">
        <v>13</v>
      </c>
      <c r="B1" s="20">
        <v>32</v>
      </c>
      <c r="J1" s="11"/>
      <c r="K1" s="17">
        <v>9</v>
      </c>
    </row>
    <row r="2" spans="1:621" ht="15" thickBot="1" x14ac:dyDescent="0.35"/>
    <row r="3" spans="1:621" ht="29.4" thickBot="1" x14ac:dyDescent="0.35">
      <c r="A3" s="15" t="s">
        <v>14</v>
      </c>
      <c r="B3" s="16">
        <v>20000</v>
      </c>
      <c r="E3" s="12" t="s">
        <v>19</v>
      </c>
      <c r="J3" s="11"/>
      <c r="K3" s="18">
        <v>6</v>
      </c>
    </row>
    <row r="5" spans="1:621" ht="15" thickBot="1" x14ac:dyDescent="0.35"/>
    <row r="6" spans="1:621" s="14" customFormat="1" ht="21.75" customHeight="1" thickTop="1" thickBot="1" x14ac:dyDescent="0.35">
      <c r="B6" s="118" t="s">
        <v>21</v>
      </c>
      <c r="C6" s="119"/>
      <c r="D6" s="119"/>
      <c r="E6" s="119"/>
      <c r="F6" s="119"/>
      <c r="G6" s="119"/>
      <c r="H6" s="119"/>
      <c r="I6" s="120"/>
      <c r="J6" s="121" t="s">
        <v>20</v>
      </c>
      <c r="K6" s="122"/>
      <c r="L6" s="122"/>
      <c r="M6" s="122"/>
      <c r="N6" s="122"/>
      <c r="O6" s="122"/>
      <c r="P6" s="122"/>
      <c r="Q6" s="123"/>
      <c r="T6" s="13"/>
      <c r="BC6" s="14" t="s">
        <v>60</v>
      </c>
      <c r="BD6" s="14" t="s">
        <v>62</v>
      </c>
      <c r="BE6" s="14" t="s">
        <v>64</v>
      </c>
      <c r="BF6" s="14" t="s">
        <v>66</v>
      </c>
      <c r="BG6" s="14" t="s">
        <v>68</v>
      </c>
      <c r="BH6" s="14" t="s">
        <v>70</v>
      </c>
      <c r="BI6" s="14" t="s">
        <v>72</v>
      </c>
      <c r="BJ6" s="14" t="s">
        <v>74</v>
      </c>
      <c r="BK6" s="14" t="s">
        <v>78</v>
      </c>
    </row>
    <row r="7" spans="1:621" s="10" customFormat="1" ht="15.6" thickTop="1" thickBot="1" x14ac:dyDescent="0.35">
      <c r="A7" s="8" t="s">
        <v>0</v>
      </c>
      <c r="B7" s="1" t="s">
        <v>1</v>
      </c>
      <c r="C7" s="1" t="s">
        <v>11</v>
      </c>
      <c r="D7" s="1" t="s">
        <v>2</v>
      </c>
      <c r="E7" s="2" t="s">
        <v>3</v>
      </c>
      <c r="F7" s="1" t="s">
        <v>4</v>
      </c>
      <c r="G7" s="1" t="s">
        <v>5</v>
      </c>
      <c r="H7" s="3" t="s">
        <v>6</v>
      </c>
      <c r="I7" s="1" t="s">
        <v>18</v>
      </c>
      <c r="J7" s="24" t="s">
        <v>17</v>
      </c>
      <c r="K7" s="3" t="s">
        <v>16</v>
      </c>
      <c r="L7" s="2" t="s">
        <v>3</v>
      </c>
      <c r="M7" s="1" t="s">
        <v>4</v>
      </c>
      <c r="N7" s="1" t="s">
        <v>5</v>
      </c>
      <c r="O7" s="3" t="s">
        <v>6</v>
      </c>
      <c r="P7" s="1" t="s">
        <v>11</v>
      </c>
      <c r="Q7" s="1" t="s">
        <v>1</v>
      </c>
      <c r="S7" s="14"/>
      <c r="T7" s="13"/>
      <c r="U7" s="1" t="s">
        <v>12</v>
      </c>
      <c r="V7" s="5" t="s">
        <v>15</v>
      </c>
      <c r="W7" s="5" t="s">
        <v>7</v>
      </c>
      <c r="X7" s="5" t="s">
        <v>22</v>
      </c>
      <c r="Y7" s="5" t="s">
        <v>23</v>
      </c>
      <c r="Z7" s="5" t="s">
        <v>24</v>
      </c>
      <c r="AA7" s="5" t="s">
        <v>25</v>
      </c>
      <c r="AB7" s="5" t="s">
        <v>26</v>
      </c>
      <c r="AC7" s="5" t="s">
        <v>27</v>
      </c>
      <c r="AD7" s="5" t="s">
        <v>28</v>
      </c>
      <c r="AE7" s="5" t="s">
        <v>29</v>
      </c>
      <c r="AF7" s="5" t="s">
        <v>30</v>
      </c>
      <c r="AG7" s="5" t="s">
        <v>31</v>
      </c>
      <c r="AH7" s="5" t="s">
        <v>32</v>
      </c>
      <c r="AI7" s="5" t="s">
        <v>33</v>
      </c>
      <c r="AJ7" s="5" t="s">
        <v>34</v>
      </c>
      <c r="AK7" s="5" t="s">
        <v>35</v>
      </c>
      <c r="AL7" s="5" t="s">
        <v>36</v>
      </c>
      <c r="AM7" s="5" t="s">
        <v>37</v>
      </c>
      <c r="AN7" s="5" t="s">
        <v>38</v>
      </c>
      <c r="AO7" s="5" t="s">
        <v>39</v>
      </c>
      <c r="AP7" s="5" t="s">
        <v>40</v>
      </c>
      <c r="AQ7" s="5" t="s">
        <v>41</v>
      </c>
      <c r="AR7" s="5" t="s">
        <v>42</v>
      </c>
      <c r="AS7" s="5" t="s">
        <v>43</v>
      </c>
      <c r="AT7" s="5" t="s">
        <v>44</v>
      </c>
      <c r="AU7" s="5" t="s">
        <v>45</v>
      </c>
      <c r="AV7" s="5" t="s">
        <v>46</v>
      </c>
      <c r="AW7" s="5" t="s">
        <v>47</v>
      </c>
      <c r="AX7" s="5" t="s">
        <v>48</v>
      </c>
      <c r="AY7" s="5" t="s">
        <v>49</v>
      </c>
      <c r="AZ7" s="5" t="s">
        <v>50</v>
      </c>
      <c r="BA7" s="5" t="s">
        <v>51</v>
      </c>
      <c r="BB7" s="5" t="s">
        <v>52</v>
      </c>
      <c r="BC7" s="5" t="s">
        <v>53</v>
      </c>
      <c r="BD7" s="5" t="s">
        <v>61</v>
      </c>
      <c r="BE7" s="5" t="s">
        <v>63</v>
      </c>
      <c r="BF7" s="5" t="s">
        <v>65</v>
      </c>
      <c r="BG7" s="5" t="s">
        <v>67</v>
      </c>
      <c r="BH7" s="5" t="s">
        <v>69</v>
      </c>
      <c r="BI7" s="5" t="s">
        <v>71</v>
      </c>
      <c r="BJ7" s="5" t="s">
        <v>73</v>
      </c>
      <c r="BK7" s="5" t="s">
        <v>93</v>
      </c>
      <c r="BL7" s="5" t="s">
        <v>75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  <c r="IW7" s="5"/>
      <c r="IX7" s="5"/>
      <c r="IY7" s="5"/>
      <c r="IZ7" s="5"/>
      <c r="JA7" s="5"/>
      <c r="JB7" s="5"/>
      <c r="JC7" s="5"/>
      <c r="JD7" s="5"/>
      <c r="JE7" s="5"/>
      <c r="JF7" s="5"/>
      <c r="JG7" s="5"/>
      <c r="JH7" s="5"/>
      <c r="JI7" s="5"/>
      <c r="JJ7" s="5"/>
      <c r="JK7" s="5"/>
      <c r="JL7" s="5"/>
      <c r="JM7" s="5"/>
      <c r="JN7" s="5"/>
      <c r="JO7" s="5"/>
      <c r="JP7" s="5"/>
      <c r="JQ7" s="5"/>
      <c r="JR7" s="5"/>
      <c r="JS7" s="5"/>
      <c r="JT7" s="5"/>
      <c r="JU7" s="5"/>
      <c r="JV7" s="5"/>
      <c r="JW7" s="5"/>
      <c r="JX7" s="5"/>
      <c r="JY7" s="5"/>
      <c r="JZ7" s="5"/>
      <c r="KA7" s="5"/>
      <c r="KB7" s="5"/>
      <c r="KC7" s="5"/>
      <c r="KD7" s="5"/>
      <c r="KE7" s="5"/>
      <c r="KF7" s="5"/>
      <c r="KG7" s="5"/>
      <c r="KH7" s="5"/>
      <c r="KI7" s="5"/>
      <c r="KJ7" s="5"/>
      <c r="KK7" s="5"/>
      <c r="KL7" s="5"/>
      <c r="KM7" s="5"/>
      <c r="KN7" s="5"/>
      <c r="KO7" s="5"/>
      <c r="KP7" s="5"/>
      <c r="KQ7" s="5"/>
      <c r="KR7" s="5"/>
      <c r="KS7" s="5"/>
      <c r="KT7" s="5"/>
      <c r="KU7" s="5"/>
      <c r="KV7" s="5"/>
      <c r="KW7" s="5"/>
      <c r="KX7" s="5"/>
      <c r="KY7" s="5"/>
      <c r="KZ7" s="5"/>
      <c r="LA7" s="5"/>
      <c r="LB7" s="5"/>
      <c r="LC7" s="5"/>
      <c r="LD7" s="5"/>
      <c r="LE7" s="5"/>
      <c r="LF7" s="5"/>
      <c r="LG7" s="5"/>
      <c r="LH7" s="5"/>
      <c r="LI7" s="5"/>
      <c r="LJ7" s="5"/>
      <c r="LK7" s="5"/>
      <c r="LL7" s="5"/>
      <c r="LM7" s="5"/>
      <c r="LN7" s="5"/>
      <c r="LO7" s="5"/>
      <c r="LP7" s="5"/>
      <c r="LQ7" s="5"/>
      <c r="LR7" s="5"/>
      <c r="LS7" s="5"/>
      <c r="LT7" s="5"/>
      <c r="LU7" s="5"/>
      <c r="LV7" s="5"/>
      <c r="LW7" s="5"/>
      <c r="LX7" s="5"/>
      <c r="LY7" s="5"/>
      <c r="LZ7" s="5"/>
      <c r="MA7" s="5"/>
      <c r="MB7" s="5"/>
      <c r="MC7" s="5"/>
      <c r="MD7" s="5"/>
      <c r="ME7" s="5"/>
      <c r="MF7" s="5"/>
      <c r="MG7" s="5"/>
      <c r="MH7" s="5"/>
      <c r="MI7" s="5"/>
      <c r="MJ7" s="5"/>
      <c r="MK7" s="5"/>
      <c r="ML7" s="5"/>
      <c r="MM7" s="5"/>
      <c r="MN7" s="5"/>
      <c r="MO7" s="5"/>
      <c r="MP7" s="5"/>
      <c r="MQ7" s="5"/>
      <c r="MR7" s="5"/>
      <c r="MS7" s="5"/>
      <c r="MT7" s="5"/>
      <c r="MU7" s="5"/>
      <c r="MV7" s="5"/>
      <c r="MW7" s="5"/>
      <c r="MX7" s="5"/>
      <c r="MY7" s="5"/>
      <c r="MZ7" s="5"/>
      <c r="NA7" s="5"/>
      <c r="NB7" s="5"/>
      <c r="NC7" s="5"/>
      <c r="ND7" s="5"/>
      <c r="NE7" s="5"/>
      <c r="NF7" s="5"/>
      <c r="NG7" s="5"/>
      <c r="NH7" s="5"/>
      <c r="NI7" s="5"/>
      <c r="NJ7" s="5"/>
      <c r="NK7" s="5"/>
      <c r="NL7" s="5"/>
      <c r="NM7" s="5"/>
      <c r="NN7" s="5"/>
      <c r="NO7" s="5"/>
      <c r="NP7" s="5"/>
      <c r="NQ7" s="5"/>
      <c r="NR7" s="5"/>
      <c r="NS7" s="5"/>
      <c r="NT7" s="5"/>
      <c r="NU7" s="5"/>
      <c r="NV7" s="5"/>
      <c r="NW7" s="5"/>
      <c r="NX7" s="5"/>
      <c r="NY7" s="5"/>
      <c r="NZ7" s="5"/>
      <c r="OA7" s="5"/>
      <c r="OB7" s="5"/>
      <c r="OC7" s="5"/>
      <c r="OD7" s="5"/>
      <c r="OE7" s="5"/>
      <c r="OF7" s="5"/>
      <c r="OG7" s="5"/>
      <c r="OH7" s="5"/>
      <c r="OI7" s="5"/>
      <c r="OJ7" s="5"/>
      <c r="OK7" s="5"/>
      <c r="OL7" s="5"/>
      <c r="OM7" s="5"/>
      <c r="ON7" s="5"/>
      <c r="OO7" s="5"/>
      <c r="OP7" s="5"/>
      <c r="OQ7" s="5"/>
      <c r="OR7" s="5"/>
      <c r="OS7" s="5"/>
      <c r="OT7" s="5"/>
      <c r="OU7" s="5"/>
      <c r="OV7" s="5"/>
      <c r="OW7" s="5"/>
      <c r="OX7" s="5"/>
      <c r="OY7" s="5"/>
      <c r="OZ7" s="5"/>
      <c r="PA7" s="5"/>
      <c r="PB7" s="5"/>
      <c r="PC7" s="5"/>
      <c r="PD7" s="5"/>
      <c r="PE7" s="5"/>
      <c r="PF7" s="5"/>
      <c r="PG7" s="5"/>
      <c r="PH7" s="5"/>
      <c r="PI7" s="5"/>
      <c r="PJ7" s="5"/>
      <c r="PK7" s="5"/>
      <c r="PL7" s="5"/>
      <c r="PM7" s="5"/>
      <c r="PN7" s="5"/>
      <c r="PO7" s="5"/>
      <c r="PP7" s="5"/>
      <c r="PQ7" s="5"/>
      <c r="PR7" s="5"/>
      <c r="PS7" s="5"/>
      <c r="PT7" s="5"/>
      <c r="PU7" s="5"/>
      <c r="PV7" s="5"/>
      <c r="PW7" s="5"/>
      <c r="PX7" s="5"/>
      <c r="PY7" s="5"/>
      <c r="PZ7" s="5"/>
      <c r="QA7" s="5"/>
      <c r="QB7" s="5"/>
      <c r="QC7" s="5"/>
      <c r="QD7" s="5"/>
      <c r="QE7" s="5"/>
      <c r="QF7" s="5"/>
      <c r="QG7" s="5"/>
      <c r="QH7" s="5"/>
      <c r="QI7" s="5"/>
      <c r="QJ7" s="5"/>
      <c r="QK7" s="5"/>
      <c r="QL7" s="5"/>
      <c r="QM7" s="5"/>
      <c r="QN7" s="5"/>
      <c r="QO7" s="5"/>
      <c r="QP7" s="5"/>
      <c r="QQ7" s="5"/>
      <c r="QR7" s="5"/>
      <c r="QS7" s="5"/>
      <c r="QT7" s="5"/>
      <c r="QU7" s="5"/>
      <c r="QV7" s="5"/>
      <c r="QW7" s="5"/>
      <c r="QX7" s="5"/>
      <c r="QY7" s="5"/>
      <c r="QZ7" s="5"/>
      <c r="RA7" s="5"/>
      <c r="RB7" s="5"/>
      <c r="RC7" s="5"/>
      <c r="RD7" s="5"/>
      <c r="RE7" s="5"/>
      <c r="RF7" s="5"/>
      <c r="RG7" s="5"/>
      <c r="RH7" s="5"/>
      <c r="RI7" s="5"/>
      <c r="RJ7" s="5"/>
      <c r="RK7" s="5"/>
      <c r="RL7" s="5"/>
      <c r="RM7" s="5"/>
      <c r="RN7" s="5"/>
      <c r="RO7" s="5"/>
      <c r="RP7" s="5"/>
      <c r="RQ7" s="5"/>
      <c r="RR7" s="5"/>
      <c r="RS7" s="5"/>
      <c r="RT7" s="5"/>
      <c r="RU7" s="5"/>
      <c r="RV7" s="5"/>
      <c r="RW7" s="5"/>
      <c r="RX7" s="5"/>
      <c r="RY7" s="5"/>
      <c r="RZ7" s="5"/>
      <c r="SA7" s="5"/>
      <c r="SB7" s="5"/>
      <c r="SC7" s="5"/>
      <c r="SD7" s="5"/>
      <c r="SE7" s="5"/>
      <c r="SF7" s="5"/>
      <c r="SG7" s="5"/>
      <c r="SH7" s="5"/>
      <c r="SI7" s="5"/>
      <c r="SJ7" s="5"/>
      <c r="SK7" s="5"/>
      <c r="SL7" s="5"/>
      <c r="SM7" s="5"/>
      <c r="SN7" s="5"/>
      <c r="SO7" s="5"/>
      <c r="SP7" s="5"/>
      <c r="SQ7" s="5"/>
      <c r="SR7" s="5"/>
      <c r="SS7" s="5"/>
      <c r="ST7" s="5"/>
      <c r="SU7" s="5"/>
      <c r="SV7" s="5"/>
      <c r="SW7" s="5"/>
      <c r="SX7" s="5"/>
      <c r="SY7" s="5"/>
      <c r="SZ7" s="5"/>
      <c r="TA7" s="5"/>
      <c r="TB7" s="5"/>
      <c r="TC7" s="5"/>
      <c r="TD7" s="5"/>
      <c r="TE7" s="5"/>
      <c r="TF7" s="5"/>
      <c r="TG7" s="5"/>
      <c r="TH7" s="5"/>
      <c r="TI7" s="5"/>
      <c r="TJ7" s="5"/>
      <c r="TK7" s="5"/>
      <c r="TL7" s="5"/>
      <c r="TM7" s="5"/>
      <c r="TN7" s="5"/>
      <c r="TO7" s="5"/>
      <c r="TP7" s="5"/>
      <c r="TQ7" s="5"/>
      <c r="TR7" s="5"/>
      <c r="TS7" s="5"/>
      <c r="TT7" s="5"/>
      <c r="TU7" s="5"/>
      <c r="TV7" s="5"/>
      <c r="TW7" s="5"/>
      <c r="TX7" s="5"/>
      <c r="TY7" s="5"/>
      <c r="TZ7" s="5"/>
      <c r="UA7" s="5"/>
      <c r="UB7" s="5"/>
      <c r="UC7" s="5"/>
      <c r="UD7" s="5"/>
      <c r="UE7" s="5"/>
      <c r="UF7" s="5"/>
      <c r="UG7" s="5"/>
      <c r="UH7" s="5"/>
      <c r="UI7" s="5"/>
      <c r="UJ7" s="5"/>
      <c r="UK7" s="5"/>
      <c r="UL7" s="5"/>
      <c r="UM7" s="5"/>
      <c r="UN7" s="5"/>
      <c r="UO7" s="5"/>
      <c r="UP7" s="5"/>
      <c r="UQ7" s="5"/>
      <c r="UR7" s="5"/>
      <c r="US7" s="5"/>
      <c r="UT7" s="5"/>
      <c r="UU7" s="5"/>
      <c r="UV7" s="5"/>
      <c r="UW7" s="5"/>
      <c r="UX7" s="5"/>
      <c r="UY7" s="5"/>
      <c r="UZ7" s="5"/>
      <c r="VA7" s="5"/>
      <c r="VB7" s="5"/>
      <c r="VC7" s="5"/>
      <c r="VD7" s="5"/>
      <c r="VE7" s="5"/>
      <c r="VF7" s="5"/>
      <c r="VG7" s="5"/>
      <c r="VH7" s="5"/>
      <c r="VI7" s="5"/>
      <c r="VJ7" s="5"/>
      <c r="VK7" s="5"/>
      <c r="VL7" s="5"/>
      <c r="VM7" s="5"/>
      <c r="VN7" s="5"/>
      <c r="VO7" s="5"/>
      <c r="VP7" s="5"/>
      <c r="VQ7" s="5"/>
      <c r="VR7" s="5"/>
      <c r="VS7" s="5"/>
      <c r="VT7" s="5"/>
      <c r="VU7" s="5"/>
      <c r="VV7" s="5"/>
      <c r="VW7" s="5"/>
      <c r="VX7" s="5"/>
      <c r="VY7" s="5"/>
      <c r="VZ7" s="5"/>
      <c r="WA7" s="5"/>
      <c r="WB7" s="5"/>
      <c r="WC7" s="5"/>
      <c r="WD7" s="5"/>
      <c r="WE7" s="5"/>
      <c r="WF7" s="5"/>
      <c r="WG7" s="5"/>
      <c r="WH7" s="5"/>
      <c r="WI7" s="5"/>
      <c r="WJ7" s="5"/>
      <c r="WK7" s="5"/>
      <c r="WL7" s="5"/>
      <c r="WM7" s="5"/>
      <c r="WN7" s="5"/>
      <c r="WO7" s="5"/>
      <c r="WP7" s="5"/>
      <c r="WQ7" s="5"/>
      <c r="WR7" s="5"/>
      <c r="WS7" s="5"/>
      <c r="WT7" s="5"/>
      <c r="WU7" s="5"/>
      <c r="WV7" s="5"/>
      <c r="WW7" s="5"/>
    </row>
    <row r="8" spans="1:621" ht="15.6" thickTop="1" thickBot="1" x14ac:dyDescent="0.35">
      <c r="A8" s="28" t="s">
        <v>7</v>
      </c>
      <c r="B8" s="4" t="s">
        <v>10</v>
      </c>
      <c r="C8" s="4">
        <v>4</v>
      </c>
      <c r="D8" s="6" t="s">
        <v>91</v>
      </c>
      <c r="E8" s="7" t="s">
        <v>91</v>
      </c>
      <c r="F8" s="7">
        <v>10</v>
      </c>
      <c r="G8" s="7">
        <v>15</v>
      </c>
      <c r="H8" s="7">
        <v>20</v>
      </c>
      <c r="I8" s="21">
        <v>0</v>
      </c>
      <c r="J8" s="19">
        <v>1</v>
      </c>
      <c r="K8" s="23">
        <v>0</v>
      </c>
      <c r="L8" s="7" t="s">
        <v>91</v>
      </c>
      <c r="M8" s="7" t="s">
        <v>91</v>
      </c>
      <c r="N8" s="7" t="s">
        <v>91</v>
      </c>
      <c r="O8" s="7" t="s">
        <v>91</v>
      </c>
      <c r="P8" s="4">
        <v>1</v>
      </c>
      <c r="Q8" s="4" t="s">
        <v>8</v>
      </c>
      <c r="S8" s="14"/>
      <c r="U8" s="22" t="s">
        <v>15</v>
      </c>
      <c r="V8" s="25">
        <v>0</v>
      </c>
      <c r="W8" s="25">
        <v>0</v>
      </c>
      <c r="X8" s="25">
        <v>0</v>
      </c>
      <c r="Y8" s="25">
        <v>0</v>
      </c>
      <c r="Z8" s="25">
        <v>0</v>
      </c>
      <c r="AA8" s="25">
        <v>0</v>
      </c>
      <c r="AB8" s="25">
        <v>0</v>
      </c>
      <c r="AC8" s="25">
        <v>0</v>
      </c>
      <c r="AD8" s="25">
        <v>0</v>
      </c>
      <c r="AE8" s="25">
        <v>0</v>
      </c>
      <c r="AF8" s="25">
        <v>0</v>
      </c>
      <c r="AG8" s="25">
        <v>0</v>
      </c>
      <c r="AH8" s="25">
        <v>0</v>
      </c>
      <c r="AI8" s="25">
        <v>0</v>
      </c>
      <c r="AJ8" s="25">
        <v>0</v>
      </c>
      <c r="AK8" s="25">
        <v>0</v>
      </c>
      <c r="AL8" s="25">
        <v>0</v>
      </c>
      <c r="AM8" s="25">
        <v>0</v>
      </c>
      <c r="AN8" s="25">
        <v>0</v>
      </c>
      <c r="AO8" s="25">
        <v>0</v>
      </c>
      <c r="AP8" s="25">
        <v>0</v>
      </c>
      <c r="AQ8" s="25">
        <v>0</v>
      </c>
      <c r="AR8" s="25">
        <v>0</v>
      </c>
      <c r="AS8" s="25">
        <v>0</v>
      </c>
      <c r="AT8" s="25">
        <v>0</v>
      </c>
      <c r="AU8" s="25">
        <v>0</v>
      </c>
      <c r="AV8" s="25">
        <v>0</v>
      </c>
      <c r="AW8" s="25">
        <v>0</v>
      </c>
      <c r="AX8" s="25">
        <v>0</v>
      </c>
      <c r="AY8" s="25">
        <v>0</v>
      </c>
      <c r="AZ8" s="25">
        <v>0</v>
      </c>
      <c r="BA8" s="25">
        <v>0</v>
      </c>
      <c r="BB8" s="25">
        <v>0</v>
      </c>
      <c r="BC8" s="25">
        <v>0</v>
      </c>
      <c r="BD8" s="25">
        <v>0</v>
      </c>
      <c r="BE8" s="25">
        <v>0</v>
      </c>
      <c r="BF8" s="25">
        <v>0</v>
      </c>
      <c r="BG8" s="25">
        <v>0</v>
      </c>
      <c r="BH8" s="25">
        <v>0</v>
      </c>
      <c r="BI8" s="25">
        <v>0</v>
      </c>
      <c r="BJ8" s="25">
        <v>0</v>
      </c>
      <c r="BK8" s="25">
        <v>0</v>
      </c>
      <c r="BL8" s="25">
        <v>0</v>
      </c>
    </row>
    <row r="9" spans="1:621" ht="15.6" thickTop="1" thickBot="1" x14ac:dyDescent="0.35">
      <c r="A9" s="28" t="s">
        <v>22</v>
      </c>
      <c r="B9" s="4" t="s">
        <v>10</v>
      </c>
      <c r="C9" s="4">
        <v>4</v>
      </c>
      <c r="D9" s="6" t="s">
        <v>91</v>
      </c>
      <c r="E9" s="7" t="s">
        <v>91</v>
      </c>
      <c r="F9" s="7">
        <v>25</v>
      </c>
      <c r="G9" s="7">
        <v>30</v>
      </c>
      <c r="H9" s="7">
        <v>35</v>
      </c>
      <c r="I9" s="21">
        <v>0</v>
      </c>
      <c r="J9" s="19">
        <v>2.5</v>
      </c>
      <c r="K9" s="23">
        <v>0</v>
      </c>
      <c r="L9" s="7" t="s">
        <v>91</v>
      </c>
      <c r="M9" s="7" t="s">
        <v>91</v>
      </c>
      <c r="N9" s="7" t="s">
        <v>91</v>
      </c>
      <c r="O9" s="7" t="s">
        <v>91</v>
      </c>
      <c r="P9" s="4">
        <v>1</v>
      </c>
      <c r="Q9" s="4" t="s">
        <v>8</v>
      </c>
      <c r="S9" s="14"/>
      <c r="U9" s="22" t="s">
        <v>7</v>
      </c>
      <c r="V9" s="25">
        <v>1</v>
      </c>
    </row>
    <row r="10" spans="1:621" ht="15.6" thickTop="1" thickBot="1" x14ac:dyDescent="0.35">
      <c r="A10" s="28" t="s">
        <v>23</v>
      </c>
      <c r="B10" s="4" t="s">
        <v>10</v>
      </c>
      <c r="C10" s="4">
        <v>4</v>
      </c>
      <c r="D10" s="6" t="s">
        <v>91</v>
      </c>
      <c r="E10" s="7" t="s">
        <v>91</v>
      </c>
      <c r="F10" s="7">
        <v>20</v>
      </c>
      <c r="G10" s="7">
        <v>30</v>
      </c>
      <c r="H10" s="7">
        <v>40</v>
      </c>
      <c r="I10" s="21">
        <v>0</v>
      </c>
      <c r="J10" s="19">
        <v>4.5</v>
      </c>
      <c r="K10" s="23">
        <v>0</v>
      </c>
      <c r="L10" s="7" t="s">
        <v>91</v>
      </c>
      <c r="M10" s="7" t="s">
        <v>91</v>
      </c>
      <c r="N10" s="7" t="s">
        <v>91</v>
      </c>
      <c r="O10" s="7" t="s">
        <v>91</v>
      </c>
      <c r="P10" s="4">
        <v>1</v>
      </c>
      <c r="Q10" s="4" t="s">
        <v>8</v>
      </c>
      <c r="S10" s="14"/>
      <c r="U10" s="22" t="s">
        <v>22</v>
      </c>
      <c r="W10" s="25">
        <v>1</v>
      </c>
    </row>
    <row r="11" spans="1:621" ht="15.6" thickTop="1" thickBot="1" x14ac:dyDescent="0.35">
      <c r="A11" s="28" t="s">
        <v>24</v>
      </c>
      <c r="B11" s="4" t="s">
        <v>10</v>
      </c>
      <c r="C11" s="4">
        <v>4</v>
      </c>
      <c r="D11" s="6" t="s">
        <v>91</v>
      </c>
      <c r="E11" s="7" t="s">
        <v>91</v>
      </c>
      <c r="F11" s="7">
        <v>45</v>
      </c>
      <c r="G11" s="7">
        <v>55</v>
      </c>
      <c r="H11" s="7">
        <v>65</v>
      </c>
      <c r="I11" s="21">
        <v>0</v>
      </c>
      <c r="J11" s="19">
        <v>4.5</v>
      </c>
      <c r="K11" s="23">
        <v>0</v>
      </c>
      <c r="L11" s="7" t="s">
        <v>91</v>
      </c>
      <c r="M11" s="7" t="s">
        <v>91</v>
      </c>
      <c r="N11" s="7" t="s">
        <v>91</v>
      </c>
      <c r="O11" s="7" t="s">
        <v>91</v>
      </c>
      <c r="P11" s="4">
        <v>1</v>
      </c>
      <c r="Q11" s="4" t="s">
        <v>8</v>
      </c>
      <c r="S11" s="14"/>
      <c r="U11" s="22" t="s">
        <v>23</v>
      </c>
      <c r="W11" s="25">
        <v>1</v>
      </c>
    </row>
    <row r="12" spans="1:621" ht="15.6" thickTop="1" thickBot="1" x14ac:dyDescent="0.35">
      <c r="A12" s="28" t="s">
        <v>25</v>
      </c>
      <c r="B12" s="4" t="s">
        <v>10</v>
      </c>
      <c r="C12" s="4">
        <v>4</v>
      </c>
      <c r="D12" s="6" t="s">
        <v>91</v>
      </c>
      <c r="E12" s="7" t="s">
        <v>91</v>
      </c>
      <c r="F12" s="7">
        <v>60</v>
      </c>
      <c r="G12" s="7">
        <v>70</v>
      </c>
      <c r="H12" s="7">
        <v>80</v>
      </c>
      <c r="I12" s="21">
        <v>0</v>
      </c>
      <c r="J12" s="19">
        <v>7.5</v>
      </c>
      <c r="K12" s="23">
        <v>0</v>
      </c>
      <c r="L12" s="7" t="s">
        <v>91</v>
      </c>
      <c r="M12" s="7" t="s">
        <v>91</v>
      </c>
      <c r="N12" s="7" t="s">
        <v>91</v>
      </c>
      <c r="O12" s="7" t="s">
        <v>91</v>
      </c>
      <c r="P12" s="4">
        <v>1</v>
      </c>
      <c r="Q12" s="4" t="s">
        <v>8</v>
      </c>
      <c r="S12" s="14"/>
      <c r="U12" s="22" t="s">
        <v>24</v>
      </c>
      <c r="Y12" s="25">
        <v>1</v>
      </c>
      <c r="BC12" s="25">
        <v>1</v>
      </c>
    </row>
    <row r="13" spans="1:621" ht="15.6" thickTop="1" thickBot="1" x14ac:dyDescent="0.35">
      <c r="A13" s="28" t="s">
        <v>26</v>
      </c>
      <c r="B13" s="4" t="s">
        <v>10</v>
      </c>
      <c r="C13" s="4">
        <v>4</v>
      </c>
      <c r="D13" s="6" t="s">
        <v>91</v>
      </c>
      <c r="E13" s="7" t="s">
        <v>91</v>
      </c>
      <c r="F13" s="7">
        <v>80</v>
      </c>
      <c r="G13" s="7">
        <v>90</v>
      </c>
      <c r="H13" s="7">
        <v>100</v>
      </c>
      <c r="I13" s="21">
        <v>0</v>
      </c>
      <c r="J13" s="19">
        <v>3.5</v>
      </c>
      <c r="K13" s="23">
        <v>0</v>
      </c>
      <c r="L13" s="7" t="s">
        <v>91</v>
      </c>
      <c r="M13" s="7" t="s">
        <v>91</v>
      </c>
      <c r="N13" s="7" t="s">
        <v>91</v>
      </c>
      <c r="O13" s="7" t="s">
        <v>91</v>
      </c>
      <c r="P13" s="4">
        <v>1</v>
      </c>
      <c r="Q13" s="4" t="s">
        <v>8</v>
      </c>
      <c r="S13" s="14"/>
      <c r="U13" s="22" t="s">
        <v>25</v>
      </c>
      <c r="BC13" s="25">
        <v>1</v>
      </c>
    </row>
    <row r="14" spans="1:621" ht="15.6" thickTop="1" thickBot="1" x14ac:dyDescent="0.35">
      <c r="A14" s="28" t="s">
        <v>27</v>
      </c>
      <c r="B14" s="4" t="s">
        <v>10</v>
      </c>
      <c r="C14" s="4">
        <v>4</v>
      </c>
      <c r="D14" s="6" t="s">
        <v>91</v>
      </c>
      <c r="E14" s="7" t="s">
        <v>91</v>
      </c>
      <c r="F14" s="7">
        <v>50</v>
      </c>
      <c r="G14" s="7">
        <v>70</v>
      </c>
      <c r="H14" s="7">
        <v>90</v>
      </c>
      <c r="I14" s="21">
        <v>0</v>
      </c>
      <c r="J14" s="19">
        <v>10</v>
      </c>
      <c r="K14" s="23">
        <v>0</v>
      </c>
      <c r="L14" s="7" t="s">
        <v>91</v>
      </c>
      <c r="M14" s="7" t="s">
        <v>91</v>
      </c>
      <c r="N14" s="7" t="s">
        <v>91</v>
      </c>
      <c r="O14" s="7" t="s">
        <v>91</v>
      </c>
      <c r="P14" s="4">
        <v>1</v>
      </c>
      <c r="Q14" s="4" t="s">
        <v>8</v>
      </c>
      <c r="S14" s="14"/>
      <c r="U14" s="22" t="s">
        <v>26</v>
      </c>
      <c r="BC14" s="25">
        <v>1</v>
      </c>
    </row>
    <row r="15" spans="1:621" ht="15.6" thickTop="1" thickBot="1" x14ac:dyDescent="0.35">
      <c r="A15" s="29" t="s">
        <v>28</v>
      </c>
      <c r="B15" s="4" t="s">
        <v>10</v>
      </c>
      <c r="C15" s="4">
        <v>4</v>
      </c>
      <c r="D15" s="6" t="s">
        <v>91</v>
      </c>
      <c r="E15" s="7" t="s">
        <v>91</v>
      </c>
      <c r="F15" s="7">
        <v>20</v>
      </c>
      <c r="G15" s="7">
        <v>25</v>
      </c>
      <c r="H15" s="7">
        <v>30</v>
      </c>
      <c r="I15" s="21">
        <v>0</v>
      </c>
      <c r="J15" s="19">
        <v>0</v>
      </c>
      <c r="K15" s="23">
        <v>650.5</v>
      </c>
      <c r="L15" s="7" t="s">
        <v>91</v>
      </c>
      <c r="M15" s="7" t="s">
        <v>91</v>
      </c>
      <c r="N15" s="7" t="s">
        <v>91</v>
      </c>
      <c r="O15" s="7" t="s">
        <v>91</v>
      </c>
      <c r="P15" s="4">
        <v>1</v>
      </c>
      <c r="Q15" s="4" t="s">
        <v>8</v>
      </c>
      <c r="S15" s="14"/>
      <c r="U15" s="22" t="s">
        <v>27</v>
      </c>
      <c r="W15" s="25">
        <v>1</v>
      </c>
    </row>
    <row r="16" spans="1:621" ht="15.6" thickTop="1" thickBot="1" x14ac:dyDescent="0.35">
      <c r="A16" s="29" t="s">
        <v>29</v>
      </c>
      <c r="B16" s="4" t="s">
        <v>10</v>
      </c>
      <c r="C16" s="4">
        <v>4</v>
      </c>
      <c r="D16" s="6" t="s">
        <v>91</v>
      </c>
      <c r="E16" s="7" t="s">
        <v>91</v>
      </c>
      <c r="F16" s="7">
        <v>70</v>
      </c>
      <c r="G16" s="7">
        <v>85</v>
      </c>
      <c r="H16" s="7">
        <v>100</v>
      </c>
      <c r="I16" s="21">
        <v>0</v>
      </c>
      <c r="J16" s="19">
        <v>0</v>
      </c>
      <c r="K16" s="23">
        <v>4200</v>
      </c>
      <c r="L16" s="7" t="s">
        <v>91</v>
      </c>
      <c r="M16" s="7" t="s">
        <v>91</v>
      </c>
      <c r="N16" s="7" t="s">
        <v>91</v>
      </c>
      <c r="O16" s="7" t="s">
        <v>91</v>
      </c>
      <c r="P16" s="4">
        <v>1</v>
      </c>
      <c r="Q16" s="4" t="s">
        <v>8</v>
      </c>
      <c r="S16" s="14"/>
      <c r="U16" s="22" t="s">
        <v>28</v>
      </c>
      <c r="AA16" s="25">
        <v>1</v>
      </c>
    </row>
    <row r="17" spans="1:56" ht="15.6" thickTop="1" thickBot="1" x14ac:dyDescent="0.35">
      <c r="A17" s="29" t="s">
        <v>30</v>
      </c>
      <c r="B17" s="4" t="s">
        <v>10</v>
      </c>
      <c r="C17" s="4">
        <v>4</v>
      </c>
      <c r="D17" s="6" t="s">
        <v>91</v>
      </c>
      <c r="E17" s="7" t="s">
        <v>91</v>
      </c>
      <c r="F17" s="7">
        <v>70</v>
      </c>
      <c r="G17" s="7">
        <v>85</v>
      </c>
      <c r="H17" s="7">
        <v>100</v>
      </c>
      <c r="I17" s="21">
        <v>0</v>
      </c>
      <c r="J17" s="19">
        <v>0</v>
      </c>
      <c r="K17" s="23">
        <v>3675</v>
      </c>
      <c r="L17" s="7" t="s">
        <v>91</v>
      </c>
      <c r="M17" s="7" t="s">
        <v>91</v>
      </c>
      <c r="N17" s="7" t="s">
        <v>91</v>
      </c>
      <c r="O17" s="7" t="s">
        <v>91</v>
      </c>
      <c r="P17" s="4">
        <v>1</v>
      </c>
      <c r="Q17" s="4" t="s">
        <v>8</v>
      </c>
      <c r="S17" s="14"/>
      <c r="U17" s="22" t="s">
        <v>29</v>
      </c>
      <c r="AA17" s="25">
        <v>1</v>
      </c>
    </row>
    <row r="18" spans="1:56" ht="15.6" thickTop="1" thickBot="1" x14ac:dyDescent="0.35">
      <c r="A18" s="29" t="s">
        <v>31</v>
      </c>
      <c r="B18" s="4" t="s">
        <v>10</v>
      </c>
      <c r="C18" s="4">
        <v>4</v>
      </c>
      <c r="D18" s="6" t="s">
        <v>91</v>
      </c>
      <c r="E18" s="7" t="s">
        <v>91</v>
      </c>
      <c r="F18" s="7">
        <v>70</v>
      </c>
      <c r="G18" s="7">
        <v>80</v>
      </c>
      <c r="H18" s="7">
        <v>90</v>
      </c>
      <c r="I18" s="21">
        <v>0</v>
      </c>
      <c r="J18" s="19">
        <v>0</v>
      </c>
      <c r="K18" s="23">
        <v>7000</v>
      </c>
      <c r="L18" s="7" t="s">
        <v>91</v>
      </c>
      <c r="M18" s="7" t="s">
        <v>91</v>
      </c>
      <c r="N18" s="7" t="s">
        <v>91</v>
      </c>
      <c r="O18" s="7" t="s">
        <v>91</v>
      </c>
      <c r="P18" s="4">
        <v>1</v>
      </c>
      <c r="Q18" s="4" t="s">
        <v>8</v>
      </c>
      <c r="S18" s="14"/>
      <c r="U18" s="22" t="s">
        <v>30</v>
      </c>
      <c r="BD18" s="25">
        <v>1</v>
      </c>
    </row>
    <row r="19" spans="1:56" ht="15.6" thickTop="1" thickBot="1" x14ac:dyDescent="0.35">
      <c r="A19" s="29" t="s">
        <v>32</v>
      </c>
      <c r="B19" s="4" t="s">
        <v>10</v>
      </c>
      <c r="C19" s="4">
        <v>4</v>
      </c>
      <c r="D19" s="6" t="s">
        <v>91</v>
      </c>
      <c r="E19" s="7" t="s">
        <v>91</v>
      </c>
      <c r="F19" s="7">
        <v>100</v>
      </c>
      <c r="G19" s="7">
        <v>110</v>
      </c>
      <c r="H19" s="7">
        <v>120</v>
      </c>
      <c r="I19" s="21">
        <v>0</v>
      </c>
      <c r="J19" s="19">
        <v>0</v>
      </c>
      <c r="K19" s="23">
        <v>75</v>
      </c>
      <c r="L19" s="7" t="s">
        <v>91</v>
      </c>
      <c r="M19" s="7" t="s">
        <v>91</v>
      </c>
      <c r="N19" s="7" t="s">
        <v>91</v>
      </c>
      <c r="O19" s="7" t="s">
        <v>91</v>
      </c>
      <c r="P19" s="4">
        <v>1</v>
      </c>
      <c r="Q19" s="4" t="s">
        <v>8</v>
      </c>
      <c r="S19" s="14"/>
      <c r="U19" s="22" t="s">
        <v>31</v>
      </c>
      <c r="AC19" s="25">
        <v>1</v>
      </c>
    </row>
    <row r="20" spans="1:56" ht="15.6" thickTop="1" thickBot="1" x14ac:dyDescent="0.35">
      <c r="A20" s="29" t="s">
        <v>33</v>
      </c>
      <c r="B20" s="4" t="s">
        <v>10</v>
      </c>
      <c r="C20" s="4">
        <v>4</v>
      </c>
      <c r="D20" s="6" t="s">
        <v>91</v>
      </c>
      <c r="E20" s="7" t="s">
        <v>91</v>
      </c>
      <c r="F20" s="7">
        <v>70</v>
      </c>
      <c r="G20" s="7">
        <v>80</v>
      </c>
      <c r="H20" s="7">
        <v>90</v>
      </c>
      <c r="I20" s="21">
        <v>0</v>
      </c>
      <c r="J20" s="19">
        <v>14.4</v>
      </c>
      <c r="K20" s="23">
        <v>500</v>
      </c>
      <c r="L20" s="7" t="s">
        <v>91</v>
      </c>
      <c r="M20" s="7" t="s">
        <v>91</v>
      </c>
      <c r="N20" s="7" t="s">
        <v>91</v>
      </c>
      <c r="O20" s="7" t="s">
        <v>91</v>
      </c>
      <c r="P20" s="4">
        <v>1</v>
      </c>
      <c r="Q20" s="4" t="s">
        <v>8</v>
      </c>
      <c r="S20" s="14"/>
      <c r="U20" s="22" t="s">
        <v>32</v>
      </c>
      <c r="AC20" s="25">
        <v>1</v>
      </c>
    </row>
    <row r="21" spans="1:56" ht="15.6" thickTop="1" thickBot="1" x14ac:dyDescent="0.35">
      <c r="A21" s="29" t="s">
        <v>34</v>
      </c>
      <c r="B21" s="4" t="s">
        <v>10</v>
      </c>
      <c r="C21" s="4">
        <v>4</v>
      </c>
      <c r="D21" s="6" t="s">
        <v>91</v>
      </c>
      <c r="E21" s="7" t="s">
        <v>91</v>
      </c>
      <c r="F21" s="7">
        <v>25</v>
      </c>
      <c r="G21" s="7">
        <v>30</v>
      </c>
      <c r="H21" s="7">
        <v>35</v>
      </c>
      <c r="I21" s="21">
        <v>0</v>
      </c>
      <c r="J21" s="19">
        <v>6</v>
      </c>
      <c r="K21" s="23">
        <v>100</v>
      </c>
      <c r="L21" s="7" t="s">
        <v>91</v>
      </c>
      <c r="M21" s="7" t="s">
        <v>91</v>
      </c>
      <c r="N21" s="7" t="s">
        <v>91</v>
      </c>
      <c r="O21" s="7" t="s">
        <v>91</v>
      </c>
      <c r="P21" s="4">
        <v>1</v>
      </c>
      <c r="Q21" s="4" t="s">
        <v>8</v>
      </c>
      <c r="S21" s="14"/>
      <c r="U21" s="22" t="s">
        <v>33</v>
      </c>
      <c r="AC21" s="25">
        <v>1</v>
      </c>
    </row>
    <row r="22" spans="1:56" ht="15.6" thickTop="1" thickBot="1" x14ac:dyDescent="0.35">
      <c r="A22" s="29" t="s">
        <v>35</v>
      </c>
      <c r="B22" s="4" t="s">
        <v>10</v>
      </c>
      <c r="C22" s="4">
        <v>4</v>
      </c>
      <c r="D22" s="6" t="s">
        <v>91</v>
      </c>
      <c r="E22" s="7" t="s">
        <v>91</v>
      </c>
      <c r="F22" s="7">
        <v>12</v>
      </c>
      <c r="G22" s="7">
        <v>15</v>
      </c>
      <c r="H22" s="7">
        <v>18</v>
      </c>
      <c r="I22" s="21">
        <v>0</v>
      </c>
      <c r="J22" s="19">
        <v>6</v>
      </c>
      <c r="K22" s="23">
        <v>0</v>
      </c>
      <c r="L22" s="7" t="s">
        <v>91</v>
      </c>
      <c r="M22" s="7" t="s">
        <v>91</v>
      </c>
      <c r="N22" s="7" t="s">
        <v>91</v>
      </c>
      <c r="O22" s="7" t="s">
        <v>91</v>
      </c>
      <c r="P22" s="4">
        <v>1</v>
      </c>
      <c r="Q22" s="4" t="s">
        <v>8</v>
      </c>
      <c r="S22" s="14"/>
      <c r="U22" s="22" t="s">
        <v>34</v>
      </c>
      <c r="AG22" s="25">
        <v>1</v>
      </c>
      <c r="AI22" s="25">
        <v>1</v>
      </c>
    </row>
    <row r="23" spans="1:56" ht="15.6" thickTop="1" thickBot="1" x14ac:dyDescent="0.35">
      <c r="A23" s="29" t="s">
        <v>36</v>
      </c>
      <c r="B23" s="4" t="s">
        <v>10</v>
      </c>
      <c r="C23" s="4">
        <v>4</v>
      </c>
      <c r="D23" s="6" t="s">
        <v>91</v>
      </c>
      <c r="E23" s="7" t="s">
        <v>91</v>
      </c>
      <c r="F23" s="7">
        <v>170</v>
      </c>
      <c r="G23" s="7">
        <v>190</v>
      </c>
      <c r="H23" s="7">
        <v>210</v>
      </c>
      <c r="I23" s="21">
        <v>0</v>
      </c>
      <c r="J23" s="19">
        <v>1.8</v>
      </c>
      <c r="K23" s="23">
        <v>300</v>
      </c>
      <c r="L23" s="7" t="s">
        <v>91</v>
      </c>
      <c r="M23" s="7" t="s">
        <v>91</v>
      </c>
      <c r="N23" s="7" t="s">
        <v>91</v>
      </c>
      <c r="O23" s="7" t="s">
        <v>91</v>
      </c>
      <c r="P23" s="4">
        <v>1</v>
      </c>
      <c r="Q23" s="4" t="s">
        <v>8</v>
      </c>
      <c r="S23" s="14"/>
      <c r="U23" s="22" t="s">
        <v>35</v>
      </c>
      <c r="AJ23" s="25">
        <v>1</v>
      </c>
    </row>
    <row r="24" spans="1:56" ht="15.6" thickTop="1" thickBot="1" x14ac:dyDescent="0.35">
      <c r="A24" s="30" t="s">
        <v>37</v>
      </c>
      <c r="B24" s="4" t="s">
        <v>10</v>
      </c>
      <c r="C24" s="4">
        <v>4</v>
      </c>
      <c r="D24" s="6" t="s">
        <v>91</v>
      </c>
      <c r="E24" s="7" t="s">
        <v>91</v>
      </c>
      <c r="F24" s="7">
        <v>45</v>
      </c>
      <c r="G24" s="7">
        <v>55</v>
      </c>
      <c r="H24" s="7">
        <v>65</v>
      </c>
      <c r="I24" s="21">
        <v>0</v>
      </c>
      <c r="J24" s="19">
        <v>4.8</v>
      </c>
      <c r="K24" s="23">
        <v>300</v>
      </c>
      <c r="L24" s="7" t="s">
        <v>91</v>
      </c>
      <c r="M24" s="7" t="s">
        <v>91</v>
      </c>
      <c r="N24" s="7" t="s">
        <v>91</v>
      </c>
      <c r="O24" s="7" t="s">
        <v>91</v>
      </c>
      <c r="P24" s="4">
        <v>1</v>
      </c>
      <c r="Q24" s="4" t="s">
        <v>8</v>
      </c>
      <c r="S24" s="14"/>
      <c r="U24" s="22" t="s">
        <v>36</v>
      </c>
      <c r="W24" s="25">
        <v>1</v>
      </c>
    </row>
    <row r="25" spans="1:56" ht="15.6" thickTop="1" thickBot="1" x14ac:dyDescent="0.35">
      <c r="A25" s="30" t="s">
        <v>38</v>
      </c>
      <c r="B25" s="4" t="s">
        <v>10</v>
      </c>
      <c r="C25" s="4">
        <v>4</v>
      </c>
      <c r="D25" s="6" t="s">
        <v>91</v>
      </c>
      <c r="E25" s="7" t="s">
        <v>91</v>
      </c>
      <c r="F25" s="7">
        <v>50</v>
      </c>
      <c r="G25" s="7">
        <v>60</v>
      </c>
      <c r="H25" s="7">
        <v>70</v>
      </c>
      <c r="I25" s="21">
        <v>0</v>
      </c>
      <c r="J25" s="19">
        <v>5.4</v>
      </c>
      <c r="K25" s="23">
        <v>550</v>
      </c>
      <c r="L25" s="7" t="s">
        <v>91</v>
      </c>
      <c r="M25" s="7" t="s">
        <v>91</v>
      </c>
      <c r="N25" s="7" t="s">
        <v>91</v>
      </c>
      <c r="O25" s="7" t="s">
        <v>91</v>
      </c>
      <c r="P25" s="4">
        <v>1</v>
      </c>
      <c r="Q25" s="4" t="s">
        <v>8</v>
      </c>
      <c r="S25" s="14"/>
      <c r="U25" s="22" t="s">
        <v>37</v>
      </c>
      <c r="BC25" s="25">
        <v>1</v>
      </c>
    </row>
    <row r="26" spans="1:56" ht="15.6" thickTop="1" thickBot="1" x14ac:dyDescent="0.35">
      <c r="A26" s="30" t="s">
        <v>39</v>
      </c>
      <c r="B26" s="4" t="s">
        <v>10</v>
      </c>
      <c r="C26" s="4">
        <v>4</v>
      </c>
      <c r="D26" s="6" t="s">
        <v>91</v>
      </c>
      <c r="E26" s="7" t="s">
        <v>91</v>
      </c>
      <c r="F26" s="7">
        <v>45</v>
      </c>
      <c r="G26" s="7">
        <v>55</v>
      </c>
      <c r="H26" s="7">
        <v>65</v>
      </c>
      <c r="I26" s="21">
        <v>0</v>
      </c>
      <c r="J26" s="19">
        <v>6</v>
      </c>
      <c r="K26" s="23">
        <v>575</v>
      </c>
      <c r="L26" s="7" t="s">
        <v>91</v>
      </c>
      <c r="M26" s="7" t="s">
        <v>91</v>
      </c>
      <c r="N26" s="7" t="s">
        <v>91</v>
      </c>
      <c r="O26" s="7" t="s">
        <v>91</v>
      </c>
      <c r="P26" s="4">
        <v>1</v>
      </c>
      <c r="Q26" s="4" t="s">
        <v>8</v>
      </c>
      <c r="S26" s="14"/>
      <c r="U26" s="22" t="s">
        <v>38</v>
      </c>
      <c r="AM26" s="25">
        <v>1</v>
      </c>
    </row>
    <row r="27" spans="1:56" ht="15.6" thickTop="1" thickBot="1" x14ac:dyDescent="0.35">
      <c r="A27" s="30" t="s">
        <v>40</v>
      </c>
      <c r="B27" s="4" t="s">
        <v>10</v>
      </c>
      <c r="C27" s="4">
        <v>4</v>
      </c>
      <c r="D27" s="6" t="s">
        <v>91</v>
      </c>
      <c r="E27" s="7" t="s">
        <v>91</v>
      </c>
      <c r="F27" s="7">
        <v>80</v>
      </c>
      <c r="G27" s="7">
        <v>95</v>
      </c>
      <c r="H27" s="7">
        <v>110</v>
      </c>
      <c r="I27" s="21">
        <v>0</v>
      </c>
      <c r="J27" s="19">
        <v>5.4</v>
      </c>
      <c r="K27" s="23">
        <v>675</v>
      </c>
      <c r="L27" s="7" t="s">
        <v>91</v>
      </c>
      <c r="M27" s="7" t="s">
        <v>91</v>
      </c>
      <c r="N27" s="7" t="s">
        <v>91</v>
      </c>
      <c r="O27" s="7" t="s">
        <v>91</v>
      </c>
      <c r="P27" s="4">
        <v>1</v>
      </c>
      <c r="Q27" s="4" t="s">
        <v>8</v>
      </c>
      <c r="S27" s="14"/>
      <c r="U27" s="22" t="s">
        <v>39</v>
      </c>
      <c r="Y27" s="25">
        <v>1</v>
      </c>
    </row>
    <row r="28" spans="1:56" ht="15.6" thickTop="1" thickBot="1" x14ac:dyDescent="0.35">
      <c r="A28" s="30" t="s">
        <v>41</v>
      </c>
      <c r="B28" s="4" t="s">
        <v>10</v>
      </c>
      <c r="C28" s="4">
        <v>4</v>
      </c>
      <c r="D28" s="6" t="s">
        <v>91</v>
      </c>
      <c r="E28" s="7" t="s">
        <v>91</v>
      </c>
      <c r="F28" s="7">
        <v>20</v>
      </c>
      <c r="G28" s="7">
        <v>25</v>
      </c>
      <c r="H28" s="7">
        <v>30</v>
      </c>
      <c r="I28" s="21">
        <v>0</v>
      </c>
      <c r="J28" s="19">
        <v>3.6</v>
      </c>
      <c r="K28" s="23">
        <v>275</v>
      </c>
      <c r="L28" s="7" t="s">
        <v>91</v>
      </c>
      <c r="M28" s="7" t="s">
        <v>91</v>
      </c>
      <c r="N28" s="7" t="s">
        <v>91</v>
      </c>
      <c r="O28" s="7" t="s">
        <v>91</v>
      </c>
      <c r="P28" s="4">
        <v>1</v>
      </c>
      <c r="Q28" s="4" t="s">
        <v>8</v>
      </c>
      <c r="S28" s="14"/>
      <c r="U28" s="22" t="s">
        <v>40</v>
      </c>
      <c r="Z28" s="25">
        <v>1</v>
      </c>
      <c r="AO28" s="25">
        <v>1</v>
      </c>
    </row>
    <row r="29" spans="1:56" ht="15.6" thickTop="1" thickBot="1" x14ac:dyDescent="0.35">
      <c r="A29" s="30" t="s">
        <v>42</v>
      </c>
      <c r="B29" s="4" t="s">
        <v>10</v>
      </c>
      <c r="C29" s="4">
        <v>4</v>
      </c>
      <c r="D29" s="6" t="s">
        <v>91</v>
      </c>
      <c r="E29" s="7" t="s">
        <v>91</v>
      </c>
      <c r="F29" s="7">
        <v>18</v>
      </c>
      <c r="G29" s="7">
        <v>20</v>
      </c>
      <c r="H29" s="7">
        <v>22</v>
      </c>
      <c r="I29" s="21">
        <v>0</v>
      </c>
      <c r="J29" s="19">
        <v>3.6</v>
      </c>
      <c r="K29" s="23">
        <v>275</v>
      </c>
      <c r="L29" s="7" t="s">
        <v>91</v>
      </c>
      <c r="M29" s="7" t="s">
        <v>91</v>
      </c>
      <c r="N29" s="7" t="s">
        <v>91</v>
      </c>
      <c r="O29" s="7" t="s">
        <v>91</v>
      </c>
      <c r="P29" s="4">
        <v>1</v>
      </c>
      <c r="Q29" s="4" t="s">
        <v>8</v>
      </c>
      <c r="S29" s="14"/>
      <c r="U29" s="22" t="s">
        <v>41</v>
      </c>
      <c r="AN29" s="25">
        <v>1</v>
      </c>
    </row>
    <row r="30" spans="1:56" ht="15.6" thickTop="1" thickBot="1" x14ac:dyDescent="0.35">
      <c r="A30" s="30" t="s">
        <v>43</v>
      </c>
      <c r="B30" s="4" t="s">
        <v>10</v>
      </c>
      <c r="C30" s="4">
        <v>4</v>
      </c>
      <c r="D30" s="6" t="s">
        <v>91</v>
      </c>
      <c r="E30" s="7" t="s">
        <v>91</v>
      </c>
      <c r="F30" s="7">
        <v>35</v>
      </c>
      <c r="G30" s="7">
        <v>40</v>
      </c>
      <c r="H30" s="7">
        <v>45</v>
      </c>
      <c r="I30" s="21">
        <v>0</v>
      </c>
      <c r="J30" s="19">
        <v>4.8</v>
      </c>
      <c r="K30" s="23">
        <v>287</v>
      </c>
      <c r="L30" s="7" t="s">
        <v>91</v>
      </c>
      <c r="M30" s="7" t="s">
        <v>91</v>
      </c>
      <c r="N30" s="7" t="s">
        <v>91</v>
      </c>
      <c r="O30" s="7" t="s">
        <v>91</v>
      </c>
      <c r="P30" s="4">
        <v>1</v>
      </c>
      <c r="Q30" s="4" t="s">
        <v>8</v>
      </c>
      <c r="S30" s="14"/>
      <c r="U30" s="22" t="s">
        <v>42</v>
      </c>
      <c r="AQ30" s="25">
        <v>1</v>
      </c>
    </row>
    <row r="31" spans="1:56" ht="15.6" thickTop="1" thickBot="1" x14ac:dyDescent="0.35">
      <c r="A31" s="30" t="s">
        <v>44</v>
      </c>
      <c r="B31" s="4" t="s">
        <v>10</v>
      </c>
      <c r="C31" s="4">
        <v>4</v>
      </c>
      <c r="D31" s="6" t="s">
        <v>91</v>
      </c>
      <c r="E31" s="7" t="s">
        <v>91</v>
      </c>
      <c r="F31" s="7">
        <v>30</v>
      </c>
      <c r="G31" s="7">
        <v>40</v>
      </c>
      <c r="H31" s="7">
        <v>50</v>
      </c>
      <c r="I31" s="21">
        <v>0</v>
      </c>
      <c r="J31" s="19">
        <v>3</v>
      </c>
      <c r="K31" s="23">
        <v>275</v>
      </c>
      <c r="L31" s="7" t="s">
        <v>91</v>
      </c>
      <c r="M31" s="7" t="s">
        <v>91</v>
      </c>
      <c r="N31" s="7" t="s">
        <v>91</v>
      </c>
      <c r="O31" s="7" t="s">
        <v>91</v>
      </c>
      <c r="P31" s="4">
        <v>1</v>
      </c>
      <c r="Q31" s="4" t="s">
        <v>8</v>
      </c>
      <c r="S31" s="14"/>
      <c r="U31" s="22" t="s">
        <v>43</v>
      </c>
      <c r="AN31" s="25">
        <v>1</v>
      </c>
    </row>
    <row r="32" spans="1:56" ht="15.6" thickTop="1" thickBot="1" x14ac:dyDescent="0.35">
      <c r="A32" s="30" t="s">
        <v>45</v>
      </c>
      <c r="B32" s="4" t="s">
        <v>10</v>
      </c>
      <c r="C32" s="4">
        <v>4</v>
      </c>
      <c r="D32" s="6" t="s">
        <v>91</v>
      </c>
      <c r="E32" s="7" t="s">
        <v>91</v>
      </c>
      <c r="F32" s="7">
        <v>35</v>
      </c>
      <c r="G32" s="7">
        <v>45</v>
      </c>
      <c r="H32" s="7">
        <v>55</v>
      </c>
      <c r="I32" s="21">
        <v>0</v>
      </c>
      <c r="J32" s="19">
        <v>8</v>
      </c>
      <c r="K32" s="23">
        <v>75</v>
      </c>
      <c r="L32" s="7" t="s">
        <v>91</v>
      </c>
      <c r="M32" s="7" t="s">
        <v>91</v>
      </c>
      <c r="N32" s="7" t="s">
        <v>91</v>
      </c>
      <c r="O32" s="7" t="s">
        <v>91</v>
      </c>
      <c r="P32" s="4">
        <v>1</v>
      </c>
      <c r="Q32" s="4" t="s">
        <v>8</v>
      </c>
      <c r="S32" s="14"/>
      <c r="U32" s="22" t="s">
        <v>44</v>
      </c>
      <c r="AQ32" s="25">
        <v>1</v>
      </c>
    </row>
    <row r="33" spans="1:63" ht="15.6" thickTop="1" thickBot="1" x14ac:dyDescent="0.35">
      <c r="A33" s="30" t="s">
        <v>46</v>
      </c>
      <c r="B33" s="4" t="s">
        <v>10</v>
      </c>
      <c r="C33" s="4">
        <v>4</v>
      </c>
      <c r="D33" s="6" t="s">
        <v>91</v>
      </c>
      <c r="E33" s="7" t="s">
        <v>91</v>
      </c>
      <c r="F33" s="7">
        <v>75</v>
      </c>
      <c r="G33" s="7">
        <v>85</v>
      </c>
      <c r="H33" s="7">
        <v>95</v>
      </c>
      <c r="I33" s="21">
        <v>0</v>
      </c>
      <c r="J33" s="19">
        <v>9.6</v>
      </c>
      <c r="K33" s="23">
        <v>125</v>
      </c>
      <c r="L33" s="7" t="s">
        <v>91</v>
      </c>
      <c r="M33" s="7" t="s">
        <v>91</v>
      </c>
      <c r="N33" s="7" t="s">
        <v>91</v>
      </c>
      <c r="O33" s="7" t="s">
        <v>91</v>
      </c>
      <c r="P33" s="4">
        <v>1</v>
      </c>
      <c r="Q33" s="4" t="s">
        <v>8</v>
      </c>
      <c r="S33" s="14"/>
      <c r="U33" s="22" t="s">
        <v>45</v>
      </c>
      <c r="AD33" s="25">
        <v>1</v>
      </c>
    </row>
    <row r="34" spans="1:63" ht="15.6" thickTop="1" thickBot="1" x14ac:dyDescent="0.35">
      <c r="A34" s="30" t="s">
        <v>47</v>
      </c>
      <c r="B34" s="4" t="s">
        <v>10</v>
      </c>
      <c r="C34" s="4">
        <v>4</v>
      </c>
      <c r="D34" s="6" t="s">
        <v>91</v>
      </c>
      <c r="E34" s="7" t="s">
        <v>91</v>
      </c>
      <c r="F34" s="7">
        <v>75</v>
      </c>
      <c r="G34" s="7">
        <v>80</v>
      </c>
      <c r="H34" s="7">
        <v>85</v>
      </c>
      <c r="I34" s="21">
        <v>0</v>
      </c>
      <c r="J34" s="19">
        <v>8</v>
      </c>
      <c r="K34" s="23">
        <v>100</v>
      </c>
      <c r="L34" s="7" t="s">
        <v>91</v>
      </c>
      <c r="M34" s="7" t="s">
        <v>91</v>
      </c>
      <c r="N34" s="7" t="s">
        <v>91</v>
      </c>
      <c r="O34" s="7" t="s">
        <v>91</v>
      </c>
      <c r="P34" s="4">
        <v>1</v>
      </c>
      <c r="Q34" s="4" t="s">
        <v>8</v>
      </c>
      <c r="S34" s="14"/>
      <c r="U34" s="22" t="s">
        <v>46</v>
      </c>
      <c r="AQ34" s="25">
        <v>1</v>
      </c>
      <c r="AU34" s="25">
        <v>1</v>
      </c>
    </row>
    <row r="35" spans="1:63" ht="15.6" thickTop="1" thickBot="1" x14ac:dyDescent="0.35">
      <c r="A35" s="30" t="s">
        <v>48</v>
      </c>
      <c r="B35" s="4" t="s">
        <v>10</v>
      </c>
      <c r="C35" s="4">
        <v>4</v>
      </c>
      <c r="D35" s="6" t="s">
        <v>91</v>
      </c>
      <c r="E35" s="7" t="s">
        <v>91</v>
      </c>
      <c r="F35" s="7">
        <v>45</v>
      </c>
      <c r="G35" s="7">
        <v>60</v>
      </c>
      <c r="H35" s="7">
        <v>75</v>
      </c>
      <c r="I35" s="21">
        <v>0</v>
      </c>
      <c r="J35" s="19">
        <v>25</v>
      </c>
      <c r="K35" s="23">
        <v>375</v>
      </c>
      <c r="L35" s="7" t="s">
        <v>91</v>
      </c>
      <c r="M35" s="7" t="s">
        <v>91</v>
      </c>
      <c r="N35" s="7" t="s">
        <v>91</v>
      </c>
      <c r="O35" s="7" t="s">
        <v>91</v>
      </c>
      <c r="P35" s="4">
        <v>1</v>
      </c>
      <c r="Q35" s="4" t="s">
        <v>8</v>
      </c>
      <c r="S35" s="14"/>
      <c r="U35" s="22" t="s">
        <v>47</v>
      </c>
      <c r="AR35" s="25">
        <v>1</v>
      </c>
      <c r="BE35" s="25">
        <v>1</v>
      </c>
      <c r="BJ35" s="25">
        <v>1</v>
      </c>
      <c r="BK35" s="25">
        <v>1</v>
      </c>
    </row>
    <row r="36" spans="1:63" ht="15.6" thickTop="1" thickBot="1" x14ac:dyDescent="0.35">
      <c r="A36" s="30" t="s">
        <v>49</v>
      </c>
      <c r="B36" s="4" t="s">
        <v>10</v>
      </c>
      <c r="C36" s="4">
        <v>4</v>
      </c>
      <c r="D36" s="6" t="s">
        <v>91</v>
      </c>
      <c r="E36" s="7" t="s">
        <v>91</v>
      </c>
      <c r="F36" s="7">
        <v>12</v>
      </c>
      <c r="G36" s="7">
        <v>15</v>
      </c>
      <c r="H36" s="7">
        <v>18</v>
      </c>
      <c r="I36" s="21">
        <v>0</v>
      </c>
      <c r="J36" s="19">
        <v>2</v>
      </c>
      <c r="K36" s="23">
        <v>0</v>
      </c>
      <c r="L36" s="7" t="s">
        <v>91</v>
      </c>
      <c r="M36" s="7" t="s">
        <v>91</v>
      </c>
      <c r="N36" s="7" t="s">
        <v>91</v>
      </c>
      <c r="O36" s="7" t="s">
        <v>91</v>
      </c>
      <c r="P36" s="4">
        <v>1</v>
      </c>
      <c r="Q36" s="4" t="s">
        <v>8</v>
      </c>
      <c r="S36" s="14"/>
      <c r="U36" s="22" t="s">
        <v>48</v>
      </c>
      <c r="AF36" s="25">
        <v>1</v>
      </c>
      <c r="AT36" s="25">
        <v>1</v>
      </c>
    </row>
    <row r="37" spans="1:63" ht="15.6" thickTop="1" thickBot="1" x14ac:dyDescent="0.35">
      <c r="A37" s="30" t="s">
        <v>50</v>
      </c>
      <c r="B37" s="4" t="s">
        <v>10</v>
      </c>
      <c r="C37" s="4">
        <v>4</v>
      </c>
      <c r="D37" s="6" t="s">
        <v>91</v>
      </c>
      <c r="E37" s="7" t="s">
        <v>91</v>
      </c>
      <c r="F37" s="7">
        <v>50</v>
      </c>
      <c r="G37" s="7">
        <v>60</v>
      </c>
      <c r="H37" s="7">
        <v>70</v>
      </c>
      <c r="I37" s="21">
        <v>0</v>
      </c>
      <c r="J37" s="19">
        <v>7</v>
      </c>
      <c r="K37" s="23">
        <v>75</v>
      </c>
      <c r="L37" s="7" t="s">
        <v>91</v>
      </c>
      <c r="M37" s="7" t="s">
        <v>91</v>
      </c>
      <c r="N37" s="7" t="s">
        <v>91</v>
      </c>
      <c r="O37" s="7" t="s">
        <v>91</v>
      </c>
      <c r="P37" s="4">
        <v>1</v>
      </c>
      <c r="Q37" s="4" t="s">
        <v>8</v>
      </c>
      <c r="S37" s="14"/>
      <c r="U37" s="22" t="s">
        <v>49</v>
      </c>
      <c r="BF37" s="25">
        <v>1</v>
      </c>
      <c r="BK37" s="25">
        <v>1</v>
      </c>
    </row>
    <row r="38" spans="1:63" ht="15.6" thickTop="1" thickBot="1" x14ac:dyDescent="0.35">
      <c r="A38" s="30" t="s">
        <v>51</v>
      </c>
      <c r="B38" s="4" t="s">
        <v>10</v>
      </c>
      <c r="C38" s="4">
        <v>4</v>
      </c>
      <c r="D38" s="6" t="s">
        <v>91</v>
      </c>
      <c r="E38" s="7" t="s">
        <v>91</v>
      </c>
      <c r="F38" s="7">
        <v>12</v>
      </c>
      <c r="G38" s="7">
        <v>15</v>
      </c>
      <c r="H38" s="7">
        <v>18</v>
      </c>
      <c r="I38" s="21">
        <v>0</v>
      </c>
      <c r="J38" s="19">
        <v>3</v>
      </c>
      <c r="K38" s="23">
        <v>0</v>
      </c>
      <c r="L38" s="7" t="s">
        <v>91</v>
      </c>
      <c r="M38" s="7" t="s">
        <v>91</v>
      </c>
      <c r="N38" s="7" t="s">
        <v>91</v>
      </c>
      <c r="O38" s="7" t="s">
        <v>91</v>
      </c>
      <c r="P38" s="4">
        <v>1</v>
      </c>
      <c r="Q38" s="4" t="s">
        <v>8</v>
      </c>
      <c r="S38" s="14"/>
      <c r="U38" s="22" t="s">
        <v>50</v>
      </c>
      <c r="AK38" s="25">
        <v>1</v>
      </c>
      <c r="AL38" s="25">
        <v>1</v>
      </c>
      <c r="AY38" s="25">
        <v>1</v>
      </c>
    </row>
    <row r="39" spans="1:63" ht="15" thickTop="1" x14ac:dyDescent="0.3">
      <c r="A39" s="30" t="s">
        <v>52</v>
      </c>
      <c r="B39" s="4" t="s">
        <v>10</v>
      </c>
      <c r="C39" s="4">
        <v>4</v>
      </c>
      <c r="D39" s="6" t="s">
        <v>91</v>
      </c>
      <c r="E39" s="7" t="s">
        <v>91</v>
      </c>
      <c r="F39" s="7">
        <v>12</v>
      </c>
      <c r="G39" s="7">
        <v>15</v>
      </c>
      <c r="H39" s="7">
        <v>18</v>
      </c>
      <c r="I39" s="21">
        <v>0</v>
      </c>
      <c r="J39" s="19">
        <v>3</v>
      </c>
      <c r="K39" s="23">
        <v>0</v>
      </c>
      <c r="L39" s="7" t="s">
        <v>91</v>
      </c>
      <c r="M39" s="7" t="s">
        <v>91</v>
      </c>
      <c r="N39" s="7" t="s">
        <v>91</v>
      </c>
      <c r="O39" s="7" t="s">
        <v>91</v>
      </c>
      <c r="P39" s="4">
        <v>1</v>
      </c>
      <c r="Q39" s="4" t="s">
        <v>8</v>
      </c>
      <c r="S39" s="14"/>
      <c r="U39" s="22" t="s">
        <v>51</v>
      </c>
      <c r="BH39" s="25">
        <v>1</v>
      </c>
      <c r="BI39" s="25">
        <v>1</v>
      </c>
    </row>
    <row r="40" spans="1:63" ht="15" thickBot="1" x14ac:dyDescent="0.35">
      <c r="S40" s="14"/>
      <c r="U40" s="22" t="s">
        <v>52</v>
      </c>
      <c r="AW40" s="25">
        <v>1</v>
      </c>
      <c r="BA40" s="25">
        <v>1</v>
      </c>
      <c r="BG40" s="25">
        <v>1</v>
      </c>
    </row>
    <row r="41" spans="1:63" ht="15.6" thickTop="1" thickBot="1" x14ac:dyDescent="0.35">
      <c r="A41" s="8" t="s">
        <v>0</v>
      </c>
      <c r="B41" s="1" t="s">
        <v>1</v>
      </c>
      <c r="C41" s="1" t="s">
        <v>11</v>
      </c>
      <c r="D41" s="1" t="s">
        <v>2</v>
      </c>
      <c r="E41" s="2" t="s">
        <v>3</v>
      </c>
      <c r="F41" s="1" t="s">
        <v>4</v>
      </c>
      <c r="G41" s="1" t="s">
        <v>5</v>
      </c>
      <c r="H41" s="3" t="s">
        <v>6</v>
      </c>
      <c r="I41" s="1" t="s">
        <v>55</v>
      </c>
      <c r="J41" s="24" t="s">
        <v>56</v>
      </c>
      <c r="K41" s="3" t="s">
        <v>54</v>
      </c>
      <c r="S41" s="14"/>
      <c r="T41" s="13" t="s">
        <v>60</v>
      </c>
      <c r="U41" s="22" t="s">
        <v>53</v>
      </c>
      <c r="X41" s="25">
        <v>1</v>
      </c>
    </row>
    <row r="42" spans="1:63" ht="15.6" thickTop="1" thickBot="1" x14ac:dyDescent="0.35">
      <c r="A42" s="9" t="s">
        <v>53</v>
      </c>
      <c r="B42" s="4" t="s">
        <v>9</v>
      </c>
      <c r="C42" s="4">
        <f>IF(B42="Determinista",1,IF(B42="Uniforme",2,IF(B42="Normal",3,IF(B42="Triangular",4,IF(B42="Beta-Pert",5,IF(B42="Lognormal",6,IF(B42="Buffer",10,0)))))))</f>
        <v>2</v>
      </c>
      <c r="D42" s="6" t="str">
        <f>IF(C42=1,"",IF(C42=2,"X",IF(C42=3,"",IF(C42=4,"X",IF(C42=5,"X",IF(C42=6,"",IF(C42=10,"","X")))))))</f>
        <v>X</v>
      </c>
      <c r="E42" s="7" t="str">
        <f>IF(C42=1,"X",IF(C42=2,"X",IF(C42=3,"",IF(C42=4,"X",IF(C42=5,"X",IF(C42=6,"","X"))))))</f>
        <v>X</v>
      </c>
      <c r="F42" s="7">
        <v>0</v>
      </c>
      <c r="G42" s="7" t="str">
        <f>IF(C42=1,"X",IF(C42=2,"X",IF(C42=3,"X",IF(C42=4,"",IF(C42=5,"",IF(C42=6,"X","X"))))))</f>
        <v>X</v>
      </c>
      <c r="H42" s="7">
        <v>0.03</v>
      </c>
      <c r="I42" s="21" t="s">
        <v>57</v>
      </c>
      <c r="J42" s="19" t="s">
        <v>59</v>
      </c>
      <c r="K42" s="23" t="s">
        <v>60</v>
      </c>
      <c r="S42" s="14"/>
      <c r="T42" s="13" t="s">
        <v>62</v>
      </c>
      <c r="U42" s="22" t="s">
        <v>61</v>
      </c>
      <c r="AB42" s="25">
        <v>1</v>
      </c>
    </row>
    <row r="43" spans="1:63" ht="15.6" thickTop="1" thickBot="1" x14ac:dyDescent="0.35">
      <c r="A43" s="9" t="s">
        <v>53</v>
      </c>
      <c r="B43" s="4" t="s">
        <v>9</v>
      </c>
      <c r="C43" s="4">
        <f t="shared" ref="C43" si="0">IF(B43="Determinista",1,IF(B43="Uniforme",2,IF(B43="Normal",3,IF(B43="Triangular",4,IF(B43="Beta-Pert",5,IF(B43="Lognormal",6,IF(B43="Buffer",10,0)))))))</f>
        <v>2</v>
      </c>
      <c r="D43" s="6" t="str">
        <f t="shared" ref="D43" si="1">IF(C43=1,"",IF(C43=2,"X",IF(C43=3,"",IF(C43=4,"X",IF(C43=5,"X",IF(C43=6,"",IF(C43=10,"","X")))))))</f>
        <v>X</v>
      </c>
      <c r="E43" s="7" t="str">
        <f t="shared" ref="E43" si="2">IF(C43=1,"X",IF(C43=2,"X",IF(C43=3,"",IF(C43=4,"X",IF(C43=5,"X",IF(C43=6,"","X"))))))</f>
        <v>X</v>
      </c>
      <c r="F43" s="7">
        <v>5</v>
      </c>
      <c r="G43" s="7" t="str">
        <f t="shared" ref="G43" si="3">IF(C43=1,"X",IF(C43=2,"X",IF(C43=3,"X",IF(C43=4,"",IF(C43=5,"",IF(C43=6,"X","X"))))))</f>
        <v>X</v>
      </c>
      <c r="H43" s="7">
        <v>20</v>
      </c>
      <c r="I43" s="21" t="s">
        <v>58</v>
      </c>
      <c r="J43" s="26">
        <v>2.5</v>
      </c>
      <c r="K43" s="27">
        <v>2</v>
      </c>
      <c r="S43" s="14"/>
      <c r="T43" s="13" t="s">
        <v>64</v>
      </c>
      <c r="U43" s="22" t="s">
        <v>63</v>
      </c>
      <c r="AE43" s="25">
        <v>1</v>
      </c>
    </row>
    <row r="44" spans="1:63" ht="15.6" thickTop="1" thickBot="1" x14ac:dyDescent="0.35">
      <c r="A44" s="9" t="s">
        <v>61</v>
      </c>
      <c r="B44" s="4" t="s">
        <v>9</v>
      </c>
      <c r="C44" s="4">
        <f>IF(B44="Determinista",1,IF(B44="Uniforme",2,IF(B44="Normal",3,IF(B44="Triangular",4,IF(B44="Beta-Pert",5,IF(B44="Lognormal",6,IF(B44="Buffer",10,0)))))))</f>
        <v>2</v>
      </c>
      <c r="D44" s="6" t="str">
        <f>IF(C44=1,"",IF(C44=2,"X",IF(C44=3,"",IF(C44=4,"X",IF(C44=5,"X",IF(C44=6,"",IF(C44=10,"","X")))))))</f>
        <v>X</v>
      </c>
      <c r="E44" s="7" t="str">
        <f>IF(C44=1,"X",IF(C44=2,"X",IF(C44=3,"",IF(C44=4,"X",IF(C44=5,"X",IF(C44=6,"","X"))))))</f>
        <v>X</v>
      </c>
      <c r="F44" s="7">
        <v>0.3</v>
      </c>
      <c r="G44" s="7" t="str">
        <f>IF(C44=1,"X",IF(C44=2,"X",IF(C44=3,"X",IF(C44=4,"",IF(C44=5,"",IF(C44=6,"X","X"))))))</f>
        <v>X</v>
      </c>
      <c r="H44" s="7">
        <v>0.5</v>
      </c>
      <c r="I44" s="21" t="s">
        <v>57</v>
      </c>
      <c r="J44" s="19" t="s">
        <v>59</v>
      </c>
      <c r="K44" s="23" t="s">
        <v>62</v>
      </c>
      <c r="S44" s="14"/>
      <c r="T44" s="13" t="s">
        <v>66</v>
      </c>
      <c r="U44" s="22" t="s">
        <v>65</v>
      </c>
      <c r="AH44" s="25">
        <v>1</v>
      </c>
    </row>
    <row r="45" spans="1:63" ht="15.6" thickTop="1" thickBot="1" x14ac:dyDescent="0.35">
      <c r="A45" s="9" t="s">
        <v>61</v>
      </c>
      <c r="B45" s="4" t="s">
        <v>9</v>
      </c>
      <c r="C45" s="4">
        <f t="shared" ref="C45" si="4">IF(B45="Determinista",1,IF(B45="Uniforme",2,IF(B45="Normal",3,IF(B45="Triangular",4,IF(B45="Beta-Pert",5,IF(B45="Lognormal",6,IF(B45="Buffer",10,0)))))))</f>
        <v>2</v>
      </c>
      <c r="D45" s="6" t="str">
        <f t="shared" ref="D45" si="5">IF(C45=1,"",IF(C45=2,"X",IF(C45=3,"",IF(C45=4,"X",IF(C45=5,"X",IF(C45=6,"",IF(C45=10,"","X")))))))</f>
        <v>X</v>
      </c>
      <c r="E45" s="7" t="str">
        <f t="shared" ref="E45" si="6">IF(C45=1,"X",IF(C45=2,"X",IF(C45=3,"",IF(C45=4,"X",IF(C45=5,"X",IF(C45=6,"","X"))))))</f>
        <v>X</v>
      </c>
      <c r="F45" s="7">
        <v>20</v>
      </c>
      <c r="G45" s="7" t="str">
        <f t="shared" ref="G45" si="7">IF(C45=1,"X",IF(C45=2,"X",IF(C45=3,"X",IF(C45=4,"",IF(C45=5,"",IF(C45=6,"X","X"))))))</f>
        <v>X</v>
      </c>
      <c r="H45" s="7">
        <v>50</v>
      </c>
      <c r="I45" s="21" t="s">
        <v>58</v>
      </c>
      <c r="J45" s="26">
        <v>3.5</v>
      </c>
      <c r="K45" s="27">
        <v>6</v>
      </c>
      <c r="S45" s="14"/>
      <c r="T45" s="13" t="s">
        <v>68</v>
      </c>
      <c r="U45" s="22" t="s">
        <v>67</v>
      </c>
      <c r="AX45" s="25">
        <v>1</v>
      </c>
    </row>
    <row r="46" spans="1:63" ht="15.6" thickTop="1" thickBot="1" x14ac:dyDescent="0.35">
      <c r="A46" s="9" t="s">
        <v>63</v>
      </c>
      <c r="B46" s="4" t="s">
        <v>9</v>
      </c>
      <c r="C46" s="4">
        <f>IF(B46="Determinista",1,IF(B46="Uniforme",2,IF(B46="Normal",3,IF(B46="Triangular",4,IF(B46="Beta-Pert",5,IF(B46="Lognormal",6,IF(B46="Buffer",10,0)))))))</f>
        <v>2</v>
      </c>
      <c r="D46" s="6" t="str">
        <f>IF(C46=1,"",IF(C46=2,"X",IF(C46=3,"",IF(C46=4,"X",IF(C46=5,"X",IF(C46=6,"",IF(C46=10,"","X")))))))</f>
        <v>X</v>
      </c>
      <c r="E46" s="7" t="str">
        <f>IF(C46=1,"X",IF(C46=2,"X",IF(C46=3,"",IF(C46=4,"X",IF(C46=5,"X",IF(C46=6,"","X"))))))</f>
        <v>X</v>
      </c>
      <c r="F46" s="7">
        <v>0.03</v>
      </c>
      <c r="G46" s="7" t="str">
        <f>IF(C46=1,"X",IF(C46=2,"X",IF(C46=3,"X",IF(C46=4,"",IF(C46=5,"",IF(C46=6,"X","X"))))))</f>
        <v>X</v>
      </c>
      <c r="H46" s="7">
        <v>0.1</v>
      </c>
      <c r="I46" s="21" t="s">
        <v>57</v>
      </c>
      <c r="J46" s="19" t="s">
        <v>59</v>
      </c>
      <c r="K46" s="23" t="s">
        <v>64</v>
      </c>
      <c r="S46" s="14"/>
      <c r="T46" s="13" t="s">
        <v>70</v>
      </c>
      <c r="U46" s="22" t="s">
        <v>69</v>
      </c>
      <c r="AV46" s="25">
        <v>1</v>
      </c>
    </row>
    <row r="47" spans="1:63" ht="15.6" thickTop="1" thickBot="1" x14ac:dyDescent="0.35">
      <c r="A47" s="9" t="s">
        <v>63</v>
      </c>
      <c r="B47" s="4" t="s">
        <v>9</v>
      </c>
      <c r="C47" s="4">
        <f t="shared" ref="C47" si="8">IF(B47="Determinista",1,IF(B47="Uniforme",2,IF(B47="Normal",3,IF(B47="Triangular",4,IF(B47="Beta-Pert",5,IF(B47="Lognormal",6,IF(B47="Buffer",10,0)))))))</f>
        <v>2</v>
      </c>
      <c r="D47" s="6" t="str">
        <f t="shared" ref="D47" si="9">IF(C47=1,"",IF(C47=2,"X",IF(C47=3,"",IF(C47=4,"X",IF(C47=5,"X",IF(C47=6,"",IF(C47=10,"","X")))))))</f>
        <v>X</v>
      </c>
      <c r="E47" s="7" t="str">
        <f t="shared" ref="E47" si="10">IF(C47=1,"X",IF(C47=2,"X",IF(C47=3,"",IF(C47=4,"X",IF(C47=5,"X",IF(C47=6,"","X"))))))</f>
        <v>X</v>
      </c>
      <c r="F47" s="7">
        <v>50</v>
      </c>
      <c r="G47" s="7" t="str">
        <f t="shared" ref="G47" si="11">IF(C47=1,"X",IF(C47=2,"X",IF(C47=3,"X",IF(C47=4,"",IF(C47=5,"",IF(C47=6,"X","X"))))))</f>
        <v>X</v>
      </c>
      <c r="H47" s="7">
        <v>75</v>
      </c>
      <c r="I47" s="21" t="s">
        <v>58</v>
      </c>
      <c r="J47" s="26">
        <v>0</v>
      </c>
      <c r="K47" s="27">
        <v>9</v>
      </c>
      <c r="S47" s="14"/>
      <c r="T47" s="13" t="s">
        <v>72</v>
      </c>
      <c r="U47" s="22" t="s">
        <v>71</v>
      </c>
      <c r="AZ47" s="25">
        <v>1</v>
      </c>
    </row>
    <row r="48" spans="1:63" ht="15.6" thickTop="1" thickBot="1" x14ac:dyDescent="0.35">
      <c r="A48" s="9" t="s">
        <v>65</v>
      </c>
      <c r="B48" s="4" t="s">
        <v>9</v>
      </c>
      <c r="C48" s="4">
        <f>IF(B48="Determinista",1,IF(B48="Uniforme",2,IF(B48="Normal",3,IF(B48="Triangular",4,IF(B48="Beta-Pert",5,IF(B48="Lognormal",6,IF(B48="Buffer",10,0)))))))</f>
        <v>2</v>
      </c>
      <c r="D48" s="6" t="str">
        <f>IF(C48=1,"",IF(C48=2,"X",IF(C48=3,"",IF(C48=4,"X",IF(C48=5,"X",IF(C48=6,"",IF(C48=10,"","X")))))))</f>
        <v>X</v>
      </c>
      <c r="E48" s="7" t="str">
        <f>IF(C48=1,"X",IF(C48=2,"X",IF(C48=3,"",IF(C48=4,"X",IF(C48=5,"X",IF(C48=6,"","X"))))))</f>
        <v>X</v>
      </c>
      <c r="F48" s="7">
        <v>0.1</v>
      </c>
      <c r="G48" s="7" t="str">
        <f>IF(C48=1,"X",IF(C48=2,"X",IF(C48=3,"X",IF(C48=4,"",IF(C48=5,"",IF(C48=6,"X","X"))))))</f>
        <v>X</v>
      </c>
      <c r="H48" s="7">
        <v>0.3</v>
      </c>
      <c r="I48" s="21" t="s">
        <v>57</v>
      </c>
      <c r="J48" s="19" t="s">
        <v>59</v>
      </c>
      <c r="K48" s="23" t="s">
        <v>66</v>
      </c>
      <c r="T48" s="13" t="s">
        <v>74</v>
      </c>
      <c r="U48" s="22" t="s">
        <v>73</v>
      </c>
      <c r="AS48" s="25">
        <v>1</v>
      </c>
    </row>
    <row r="49" spans="1:54" ht="15.6" thickTop="1" thickBot="1" x14ac:dyDescent="0.35">
      <c r="A49" s="9" t="s">
        <v>65</v>
      </c>
      <c r="B49" s="4" t="s">
        <v>9</v>
      </c>
      <c r="C49" s="4">
        <f t="shared" ref="C49" si="12">IF(B49="Determinista",1,IF(B49="Uniforme",2,IF(B49="Normal",3,IF(B49="Triangular",4,IF(B49="Beta-Pert",5,IF(B49="Lognormal",6,IF(B49="Buffer",10,0)))))))</f>
        <v>2</v>
      </c>
      <c r="D49" s="6" t="str">
        <f t="shared" ref="D49" si="13">IF(C49=1,"",IF(C49=2,"X",IF(C49=3,"",IF(C49=4,"X",IF(C49=5,"X",IF(C49=6,"",IF(C49=10,"","X")))))))</f>
        <v>X</v>
      </c>
      <c r="E49" s="7" t="str">
        <f t="shared" ref="E49" si="14">IF(C49=1,"X",IF(C49=2,"X",IF(C49=3,"",IF(C49=4,"X",IF(C49=5,"X",IF(C49=6,"","X"))))))</f>
        <v>X</v>
      </c>
      <c r="F49" s="7">
        <v>5</v>
      </c>
      <c r="G49" s="7" t="str">
        <f t="shared" ref="G49" si="15">IF(C49=1,"X",IF(C49=2,"X",IF(C49=3,"X",IF(C49=4,"",IF(C49=5,"",IF(C49=6,"X","X"))))))</f>
        <v>X</v>
      </c>
      <c r="H49" s="7">
        <v>20</v>
      </c>
      <c r="I49" s="21" t="s">
        <v>58</v>
      </c>
      <c r="J49" s="26">
        <v>0</v>
      </c>
      <c r="K49" s="27">
        <v>12</v>
      </c>
      <c r="T49" s="13" t="s">
        <v>78</v>
      </c>
      <c r="U49" s="22" t="s">
        <v>93</v>
      </c>
      <c r="AP49" s="25">
        <v>1</v>
      </c>
    </row>
    <row r="50" spans="1:54" ht="15.6" thickTop="1" thickBot="1" x14ac:dyDescent="0.35">
      <c r="A50" s="9" t="s">
        <v>67</v>
      </c>
      <c r="B50" s="4" t="s">
        <v>9</v>
      </c>
      <c r="C50" s="4">
        <f>IF(B50="Determinista",1,IF(B50="Uniforme",2,IF(B50="Normal",3,IF(B50="Triangular",4,IF(B50="Beta-Pert",5,IF(B50="Lognormal",6,IF(B50="Buffer",10,0)))))))</f>
        <v>2</v>
      </c>
      <c r="D50" s="6" t="str">
        <f>IF(C50=1,"",IF(C50=2,"X",IF(C50=3,"",IF(C50=4,"X",IF(C50=5,"X",IF(C50=6,"",IF(C50=10,"","X")))))))</f>
        <v>X</v>
      </c>
      <c r="E50" s="7" t="str">
        <f>IF(C50=1,"X",IF(C50=2,"X",IF(C50=3,"",IF(C50=4,"X",IF(C50=5,"X",IF(C50=6,"","X"))))))</f>
        <v>X</v>
      </c>
      <c r="F50" s="7">
        <v>0.1</v>
      </c>
      <c r="G50" s="7" t="str">
        <f>IF(C50=1,"X",IF(C50=2,"X",IF(C50=3,"X",IF(C50=4,"",IF(C50=5,"",IF(C50=6,"X","X"))))))</f>
        <v>X</v>
      </c>
      <c r="H50" s="7">
        <v>0.3</v>
      </c>
      <c r="I50" s="21" t="s">
        <v>57</v>
      </c>
      <c r="J50" s="19" t="s">
        <v>59</v>
      </c>
      <c r="K50" s="23" t="s">
        <v>68</v>
      </c>
      <c r="U50" s="22" t="s">
        <v>75</v>
      </c>
      <c r="BB50" s="25">
        <v>1</v>
      </c>
    </row>
    <row r="51" spans="1:54" ht="15.6" thickTop="1" thickBot="1" x14ac:dyDescent="0.35">
      <c r="A51" s="9" t="s">
        <v>67</v>
      </c>
      <c r="B51" s="4" t="s">
        <v>9</v>
      </c>
      <c r="C51" s="4">
        <f t="shared" ref="C51" si="16">IF(B51="Determinista",1,IF(B51="Uniforme",2,IF(B51="Normal",3,IF(B51="Triangular",4,IF(B51="Beta-Pert",5,IF(B51="Lognormal",6,IF(B51="Buffer",10,0)))))))</f>
        <v>2</v>
      </c>
      <c r="D51" s="6" t="str">
        <f t="shared" ref="D51" si="17">IF(C51=1,"",IF(C51=2,"X",IF(C51=3,"",IF(C51=4,"X",IF(C51=5,"X",IF(C51=6,"",IF(C51=10,"","X")))))))</f>
        <v>X</v>
      </c>
      <c r="E51" s="7" t="str">
        <f t="shared" ref="E51" si="18">IF(C51=1,"X",IF(C51=2,"X",IF(C51=3,"",IF(C51=4,"X",IF(C51=5,"X",IF(C51=6,"","X"))))))</f>
        <v>X</v>
      </c>
      <c r="F51" s="7">
        <v>20</v>
      </c>
      <c r="G51" s="7" t="str">
        <f t="shared" ref="G51" si="19">IF(C51=1,"X",IF(C51=2,"X",IF(C51=3,"X",IF(C51=4,"",IF(C51=5,"",IF(C51=6,"X","X"))))))</f>
        <v>X</v>
      </c>
      <c r="H51" s="7">
        <v>50</v>
      </c>
      <c r="I51" s="21" t="s">
        <v>58</v>
      </c>
      <c r="J51" s="26">
        <v>25</v>
      </c>
      <c r="K51" s="27">
        <v>28</v>
      </c>
    </row>
    <row r="52" spans="1:54" ht="15.6" thickTop="1" thickBot="1" x14ac:dyDescent="0.35">
      <c r="A52" s="9" t="s">
        <v>69</v>
      </c>
      <c r="B52" s="4" t="s">
        <v>9</v>
      </c>
      <c r="C52" s="4">
        <f>IF(B52="Determinista",1,IF(B52="Uniforme",2,IF(B52="Normal",3,IF(B52="Triangular",4,IF(B52="Beta-Pert",5,IF(B52="Lognormal",6,IF(B52="Buffer",10,0)))))))</f>
        <v>2</v>
      </c>
      <c r="D52" s="6" t="str">
        <f>IF(C52=1,"",IF(C52=2,"X",IF(C52=3,"",IF(C52=4,"X",IF(C52=5,"X",IF(C52=6,"",IF(C52=10,"","X")))))))</f>
        <v>X</v>
      </c>
      <c r="E52" s="7" t="str">
        <f>IF(C52=1,"X",IF(C52=2,"X",IF(C52=3,"",IF(C52=4,"X",IF(C52=5,"X",IF(C52=6,"","X"))))))</f>
        <v>X</v>
      </c>
      <c r="F52" s="7">
        <v>0.03</v>
      </c>
      <c r="G52" s="7" t="str">
        <f>IF(C52=1,"X",IF(C52=2,"X",IF(C52=3,"X",IF(C52=4,"",IF(C52=5,"",IF(C52=6,"X","X"))))))</f>
        <v>X</v>
      </c>
      <c r="H52" s="7">
        <v>0.1</v>
      </c>
      <c r="I52" s="21" t="s">
        <v>57</v>
      </c>
      <c r="J52" s="19" t="s">
        <v>59</v>
      </c>
      <c r="K52" s="23" t="s">
        <v>70</v>
      </c>
    </row>
    <row r="53" spans="1:54" ht="15.6" thickTop="1" thickBot="1" x14ac:dyDescent="0.35">
      <c r="A53" s="9" t="s">
        <v>69</v>
      </c>
      <c r="B53" s="4" t="s">
        <v>9</v>
      </c>
      <c r="C53" s="4">
        <f t="shared" ref="C53" si="20">IF(B53="Determinista",1,IF(B53="Uniforme",2,IF(B53="Normal",3,IF(B53="Triangular",4,IF(B53="Beta-Pert",5,IF(B53="Lognormal",6,IF(B53="Buffer",10,0)))))))</f>
        <v>2</v>
      </c>
      <c r="D53" s="6" t="str">
        <f t="shared" ref="D53" si="21">IF(C53=1,"",IF(C53=2,"X",IF(C53=3,"",IF(C53=4,"X",IF(C53=5,"X",IF(C53=6,"",IF(C53=10,"","X")))))))</f>
        <v>X</v>
      </c>
      <c r="E53" s="7" t="str">
        <f t="shared" ref="E53" si="22">IF(C53=1,"X",IF(C53=2,"X",IF(C53=3,"",IF(C53=4,"X",IF(C53=5,"X",IF(C53=6,"","X"))))))</f>
        <v>X</v>
      </c>
      <c r="F53" s="7">
        <v>5</v>
      </c>
      <c r="G53" s="7" t="str">
        <f t="shared" ref="G53" si="23">IF(C53=1,"X",IF(C53=2,"X",IF(C53=3,"X",IF(C53=4,"",IF(C53=5,"",IF(C53=6,"X","X"))))))</f>
        <v>X</v>
      </c>
      <c r="H53" s="7">
        <v>20</v>
      </c>
      <c r="I53" s="21" t="s">
        <v>58</v>
      </c>
      <c r="J53" s="26">
        <v>9.6</v>
      </c>
      <c r="K53" s="27">
        <v>26</v>
      </c>
    </row>
    <row r="54" spans="1:54" ht="15.6" thickTop="1" thickBot="1" x14ac:dyDescent="0.35">
      <c r="A54" s="9" t="s">
        <v>71</v>
      </c>
      <c r="B54" s="4" t="s">
        <v>9</v>
      </c>
      <c r="C54" s="4">
        <f>IF(B54="Determinista",1,IF(B54="Uniforme",2,IF(B54="Normal",3,IF(B54="Triangular",4,IF(B54="Beta-Pert",5,IF(B54="Lognormal",6,IF(B54="Buffer",10,0)))))))</f>
        <v>2</v>
      </c>
      <c r="D54" s="6" t="str">
        <f>IF(C54=1,"",IF(C54=2,"X",IF(C54=3,"",IF(C54=4,"X",IF(C54=5,"X",IF(C54=6,"",IF(C54=10,"","X")))))))</f>
        <v>X</v>
      </c>
      <c r="E54" s="7" t="str">
        <f>IF(C54=1,"X",IF(C54=2,"X",IF(C54=3,"",IF(C54=4,"X",IF(C54=5,"X",IF(C54=6,"","X"))))))</f>
        <v>X</v>
      </c>
      <c r="F54" s="7">
        <v>0</v>
      </c>
      <c r="G54" s="7" t="str">
        <f>IF(C54=1,"X",IF(C54=2,"X",IF(C54=3,"X",IF(C54=4,"",IF(C54=5,"",IF(C54=6,"X","X"))))))</f>
        <v>X</v>
      </c>
      <c r="H54" s="7">
        <v>0.03</v>
      </c>
      <c r="I54" s="21" t="s">
        <v>57</v>
      </c>
      <c r="J54" s="19" t="s">
        <v>59</v>
      </c>
      <c r="K54" s="23" t="s">
        <v>72</v>
      </c>
    </row>
    <row r="55" spans="1:54" ht="15.6" thickTop="1" thickBot="1" x14ac:dyDescent="0.35">
      <c r="A55" s="9" t="s">
        <v>71</v>
      </c>
      <c r="B55" s="4" t="s">
        <v>9</v>
      </c>
      <c r="C55" s="4">
        <f t="shared" ref="C55" si="24">IF(B55="Determinista",1,IF(B55="Uniforme",2,IF(B55="Normal",3,IF(B55="Triangular",4,IF(B55="Beta-Pert",5,IF(B55="Lognormal",6,IF(B55="Buffer",10,0)))))))</f>
        <v>2</v>
      </c>
      <c r="D55" s="6" t="str">
        <f t="shared" ref="D55" si="25">IF(C55=1,"",IF(C55=2,"X",IF(C55=3,"",IF(C55=4,"X",IF(C55=5,"X",IF(C55=6,"",IF(C55=10,"","X")))))))</f>
        <v>X</v>
      </c>
      <c r="E55" s="7" t="str">
        <f t="shared" ref="E55" si="26">IF(C55=1,"X",IF(C55=2,"X",IF(C55=3,"",IF(C55=4,"X",IF(C55=5,"X",IF(C55=6,"","X"))))))</f>
        <v>X</v>
      </c>
      <c r="F55" s="7">
        <v>20</v>
      </c>
      <c r="G55" s="7" t="str">
        <f t="shared" ref="G55" si="27">IF(C55=1,"X",IF(C55=2,"X",IF(C55=3,"X",IF(C55=4,"",IF(C55=5,"",IF(C55=6,"X","X"))))))</f>
        <v>X</v>
      </c>
      <c r="H55" s="7">
        <v>50</v>
      </c>
      <c r="I55" s="21" t="s">
        <v>58</v>
      </c>
      <c r="J55" s="26">
        <v>7</v>
      </c>
      <c r="K55" s="27">
        <v>30</v>
      </c>
    </row>
    <row r="56" spans="1:54" ht="15.6" thickTop="1" thickBot="1" x14ac:dyDescent="0.35">
      <c r="A56" s="9" t="s">
        <v>73</v>
      </c>
      <c r="B56" s="4" t="s">
        <v>9</v>
      </c>
      <c r="C56" s="4">
        <f>IF(B56="Determinista",1,IF(B56="Uniforme",2,IF(B56="Normal",3,IF(B56="Triangular",4,IF(B56="Beta-Pert",5,IF(B56="Lognormal",6,IF(B56="Buffer",10,0)))))))</f>
        <v>2</v>
      </c>
      <c r="D56" s="6" t="str">
        <f>IF(C56=1,"",IF(C56=2,"X",IF(C56=3,"",IF(C56=4,"X",IF(C56=5,"X",IF(C56=6,"",IF(C56=10,"","X")))))))</f>
        <v>X</v>
      </c>
      <c r="E56" s="7" t="str">
        <f>IF(C56=1,"X",IF(C56=2,"X",IF(C56=3,"",IF(C56=4,"X",IF(C56=5,"X",IF(C56=6,"","X"))))))</f>
        <v>X</v>
      </c>
      <c r="F56" s="7">
        <v>0.1</v>
      </c>
      <c r="G56" s="7" t="str">
        <f>IF(C56=1,"X",IF(C56=2,"X",IF(C56=3,"X",IF(C56=4,"",IF(C56=5,"",IF(C56=6,"X","X"))))))</f>
        <v>X</v>
      </c>
      <c r="H56" s="7">
        <v>0.3</v>
      </c>
      <c r="I56" s="21" t="s">
        <v>57</v>
      </c>
      <c r="J56" s="19" t="s">
        <v>59</v>
      </c>
      <c r="K56" s="23" t="s">
        <v>74</v>
      </c>
    </row>
    <row r="57" spans="1:54" ht="15.6" thickTop="1" thickBot="1" x14ac:dyDescent="0.35">
      <c r="A57" s="9" t="s">
        <v>73</v>
      </c>
      <c r="B57" s="4" t="s">
        <v>9</v>
      </c>
      <c r="C57" s="4">
        <f t="shared" ref="C57" si="28">IF(B57="Determinista",1,IF(B57="Uniforme",2,IF(B57="Normal",3,IF(B57="Triangular",4,IF(B57="Beta-Pert",5,IF(B57="Lognormal",6,IF(B57="Buffer",10,0)))))))</f>
        <v>2</v>
      </c>
      <c r="D57" s="6" t="str">
        <f t="shared" ref="D57" si="29">IF(C57=1,"",IF(C57=2,"X",IF(C57=3,"",IF(C57=4,"X",IF(C57=5,"X",IF(C57=6,"",IF(C57=10,"","X")))))))</f>
        <v>X</v>
      </c>
      <c r="E57" s="7" t="str">
        <f t="shared" ref="E57" si="30">IF(C57=1,"X",IF(C57=2,"X",IF(C57=3,"",IF(C57=4,"X",IF(C57=5,"X",IF(C57=6,"","X"))))))</f>
        <v>X</v>
      </c>
      <c r="F57" s="7">
        <v>20</v>
      </c>
      <c r="G57" s="7" t="str">
        <f t="shared" ref="G57" si="31">IF(C57=1,"X",IF(C57=2,"X",IF(C57=3,"X",IF(C57=4,"",IF(C57=5,"",IF(C57=6,"X","X"))))))</f>
        <v>X</v>
      </c>
      <c r="H57" s="7">
        <v>50</v>
      </c>
      <c r="I57" s="21" t="s">
        <v>58</v>
      </c>
      <c r="J57" s="26">
        <v>4.8</v>
      </c>
      <c r="K57" s="27">
        <v>23</v>
      </c>
    </row>
    <row r="58" spans="1:54" ht="15.6" thickTop="1" thickBot="1" x14ac:dyDescent="0.35">
      <c r="A58" s="9" t="s">
        <v>93</v>
      </c>
      <c r="B58" s="4" t="s">
        <v>9</v>
      </c>
      <c r="C58" s="4">
        <f>IF(B58="Determinista",1,IF(B58="Uniforme",2,IF(B58="Normal",3,IF(B58="Triangular",4,IF(B58="Beta-Pert",5,IF(B58="Lognormal",6,IF(B58="Buffer",10,0)))))))</f>
        <v>2</v>
      </c>
      <c r="D58" s="6" t="str">
        <f>IF(C58=1,"",IF(C58=2,"X",IF(C58=3,"",IF(C58=4,"X",IF(C58=5,"X",IF(C58=6,"",IF(C58=10,"","X")))))))</f>
        <v>X</v>
      </c>
      <c r="E58" s="7" t="str">
        <f>IF(C58=1,"X",IF(C58=2,"X",IF(C58=3,"",IF(C58=4,"X",IF(C58=5,"X",IF(C58=6,"","X"))))))</f>
        <v>X</v>
      </c>
      <c r="F58" s="7">
        <v>0.03</v>
      </c>
      <c r="G58" s="7" t="str">
        <f>IF(C58=1,"X",IF(C58=2,"X",IF(C58=3,"X",IF(C58=4,"",IF(C58=5,"",IF(C58=6,"X","X"))))))</f>
        <v>X</v>
      </c>
      <c r="H58" s="7">
        <v>0.1</v>
      </c>
      <c r="I58" s="21" t="s">
        <v>57</v>
      </c>
      <c r="J58" s="19" t="s">
        <v>59</v>
      </c>
      <c r="K58" s="23" t="s">
        <v>78</v>
      </c>
    </row>
    <row r="59" spans="1:54" ht="15.6" thickTop="1" thickBot="1" x14ac:dyDescent="0.35">
      <c r="A59" s="9" t="s">
        <v>93</v>
      </c>
      <c r="B59" s="4" t="s">
        <v>9</v>
      </c>
      <c r="C59" s="4">
        <f t="shared" ref="C59" si="32">IF(B59="Determinista",1,IF(B59="Uniforme",2,IF(B59="Normal",3,IF(B59="Triangular",4,IF(B59="Beta-Pert",5,IF(B59="Lognormal",6,IF(B59="Buffer",10,0)))))))</f>
        <v>2</v>
      </c>
      <c r="D59" s="6" t="str">
        <f t="shared" ref="D59" si="33">IF(C59=1,"",IF(C59=2,"X",IF(C59=3,"",IF(C59=4,"X",IF(C59=5,"X",IF(C59=6,"",IF(C59=10,"","X")))))))</f>
        <v>X</v>
      </c>
      <c r="E59" s="7" t="str">
        <f t="shared" ref="E59" si="34">IF(C59=1,"X",IF(C59=2,"X",IF(C59=3,"",IF(C59=4,"X",IF(C59=5,"X",IF(C59=6,"","X"))))))</f>
        <v>X</v>
      </c>
      <c r="F59" s="7">
        <v>5</v>
      </c>
      <c r="G59" s="7" t="str">
        <f t="shared" ref="G59" si="35">IF(C59=1,"X",IF(C59=2,"X",IF(C59=3,"X",IF(C59=4,"",IF(C59=5,"",IF(C59=6,"X","X"))))))</f>
        <v>X</v>
      </c>
      <c r="H59" s="7">
        <v>20</v>
      </c>
      <c r="I59" s="21" t="s">
        <v>58</v>
      </c>
      <c r="J59" s="26">
        <v>5.4</v>
      </c>
      <c r="K59" s="27">
        <v>20</v>
      </c>
    </row>
    <row r="60" spans="1:54" ht="15.6" thickTop="1" thickBot="1" x14ac:dyDescent="0.35">
      <c r="A60" s="9" t="s">
        <v>77</v>
      </c>
      <c r="B60" s="4" t="s">
        <v>9</v>
      </c>
      <c r="C60" s="4">
        <f>IF(B60="Determinista",1,IF(B60="Uniforme",2,IF(B60="Normal",3,IF(B60="Triangular",4,IF(B60="Beta-Pert",5,IF(B60="Lognormal",6,IF(B60="Buffer",10,0)))))))</f>
        <v>2</v>
      </c>
      <c r="D60" s="6" t="str">
        <f>IF(C60=1,"",IF(C60=2,"X",IF(C60=3,"",IF(C60=4,"X",IF(C60=5,"X",IF(C60=6,"",IF(C60=10,"","X")))))))</f>
        <v>X</v>
      </c>
      <c r="E60" s="7" t="str">
        <f>IF(C60=1,"X",IF(C60=2,"X",IF(C60=3,"",IF(C60=4,"X",IF(C60=5,"X",IF(C60=6,"","X"))))))</f>
        <v>X</v>
      </c>
      <c r="F60" s="7">
        <v>0.3</v>
      </c>
      <c r="G60" s="7" t="str">
        <f>IF(C60=1,"X",IF(C60=2,"X",IF(C60=3,"X",IF(C60=4,"",IF(C60=5,"",IF(C60=6,"X","X"))))))</f>
        <v>X</v>
      </c>
      <c r="H60" s="7">
        <v>0.5</v>
      </c>
      <c r="I60" s="21" t="s">
        <v>57</v>
      </c>
      <c r="J60" s="19" t="s">
        <v>76</v>
      </c>
      <c r="K60" s="23" t="s">
        <v>80</v>
      </c>
    </row>
    <row r="61" spans="1:54" ht="15.6" thickTop="1" thickBot="1" x14ac:dyDescent="0.35">
      <c r="A61" s="9" t="s">
        <v>77</v>
      </c>
      <c r="B61" s="4" t="s">
        <v>9</v>
      </c>
      <c r="C61" s="4">
        <f t="shared" ref="C61" si="36">IF(B61="Determinista",1,IF(B61="Uniforme",2,IF(B61="Normal",3,IF(B61="Triangular",4,IF(B61="Beta-Pert",5,IF(B61="Lognormal",6,IF(B61="Buffer",10,0)))))))</f>
        <v>2</v>
      </c>
      <c r="D61" s="6" t="str">
        <f t="shared" ref="D61" si="37">IF(C61=1,"",IF(C61=2,"X",IF(C61=3,"",IF(C61=4,"X",IF(C61=5,"X",IF(C61=6,"",IF(C61=10,"","X")))))))</f>
        <v>X</v>
      </c>
      <c r="E61" s="7" t="str">
        <f t="shared" ref="E61" si="38">IF(C61=1,"X",IF(C61=2,"X",IF(C61=3,"",IF(C61=4,"X",IF(C61=5,"X",IF(C61=6,"","X"))))))</f>
        <v>X</v>
      </c>
      <c r="F61" s="7">
        <v>100</v>
      </c>
      <c r="G61" s="7" t="str">
        <f t="shared" ref="G61" si="39">IF(C61=1,"X",IF(C61=2,"X",IF(C61=3,"X",IF(C61=4,"",IF(C61=5,"",IF(C61=6,"X","X"))))))</f>
        <v>X</v>
      </c>
      <c r="H61" s="7">
        <v>750</v>
      </c>
      <c r="I61" s="21" t="s">
        <v>58</v>
      </c>
      <c r="J61" s="19" t="s">
        <v>76</v>
      </c>
      <c r="K61" s="27">
        <v>2</v>
      </c>
    </row>
    <row r="62" spans="1:54" ht="15.6" thickTop="1" thickBot="1" x14ac:dyDescent="0.35">
      <c r="A62" s="9" t="s">
        <v>79</v>
      </c>
      <c r="B62" s="4" t="s">
        <v>9</v>
      </c>
      <c r="C62" s="4">
        <f>IF(B62="Determinista",1,IF(B62="Uniforme",2,IF(B62="Normal",3,IF(B62="Triangular",4,IF(B62="Beta-Pert",5,IF(B62="Lognormal",6,IF(B62="Buffer",10,0)))))))</f>
        <v>2</v>
      </c>
      <c r="D62" s="6" t="str">
        <f>IF(C62=1,"",IF(C62=2,"X",IF(C62=3,"",IF(C62=4,"X",IF(C62=5,"X",IF(C62=6,"",IF(C62=10,"","X")))))))</f>
        <v>X</v>
      </c>
      <c r="E62" s="7" t="str">
        <f>IF(C62=1,"X",IF(C62=2,"X",IF(C62=3,"",IF(C62=4,"X",IF(C62=5,"X",IF(C62=6,"","X"))))))</f>
        <v>X</v>
      </c>
      <c r="F62" s="7">
        <v>0.03</v>
      </c>
      <c r="G62" s="7" t="str">
        <f>IF(C62=1,"X",IF(C62=2,"X",IF(C62=3,"X",IF(C62=4,"",IF(C62=5,"",IF(C62=6,"X","X"))))))</f>
        <v>X</v>
      </c>
      <c r="H62" s="7">
        <v>0.1</v>
      </c>
      <c r="I62" s="21" t="s">
        <v>57</v>
      </c>
      <c r="J62" s="19" t="s">
        <v>76</v>
      </c>
      <c r="K62" s="23" t="s">
        <v>82</v>
      </c>
    </row>
    <row r="63" spans="1:54" ht="15.6" thickTop="1" thickBot="1" x14ac:dyDescent="0.35">
      <c r="A63" s="9" t="s">
        <v>79</v>
      </c>
      <c r="B63" s="4" t="s">
        <v>9</v>
      </c>
      <c r="C63" s="4">
        <f t="shared" ref="C63" si="40">IF(B63="Determinista",1,IF(B63="Uniforme",2,IF(B63="Normal",3,IF(B63="Triangular",4,IF(B63="Beta-Pert",5,IF(B63="Lognormal",6,IF(B63="Buffer",10,0)))))))</f>
        <v>2</v>
      </c>
      <c r="D63" s="6" t="str">
        <f t="shared" ref="D63" si="41">IF(C63=1,"",IF(C63=2,"X",IF(C63=3,"",IF(C63=4,"X",IF(C63=5,"X",IF(C63=6,"",IF(C63=10,"","X")))))))</f>
        <v>X</v>
      </c>
      <c r="E63" s="7" t="str">
        <f t="shared" ref="E63" si="42">IF(C63=1,"X",IF(C63=2,"X",IF(C63=3,"",IF(C63=4,"X",IF(C63=5,"X",IF(C63=6,"","X"))))))</f>
        <v>X</v>
      </c>
      <c r="F63" s="7">
        <v>750</v>
      </c>
      <c r="G63" s="7" t="str">
        <f t="shared" ref="G63" si="43">IF(C63=1,"X",IF(C63=2,"X",IF(C63=3,"X",IF(C63=4,"",IF(C63=5,"",IF(C63=6,"X","X"))))))</f>
        <v>X</v>
      </c>
      <c r="H63" s="7">
        <v>2500</v>
      </c>
      <c r="I63" s="21" t="s">
        <v>58</v>
      </c>
      <c r="J63" s="19" t="s">
        <v>76</v>
      </c>
      <c r="K63" s="27">
        <v>8</v>
      </c>
    </row>
    <row r="64" spans="1:54" ht="15.6" thickTop="1" thickBot="1" x14ac:dyDescent="0.35">
      <c r="A64" s="9" t="s">
        <v>81</v>
      </c>
      <c r="B64" s="4" t="s">
        <v>9</v>
      </c>
      <c r="C64" s="4">
        <f>IF(B64="Determinista",1,IF(B64="Uniforme",2,IF(B64="Normal",3,IF(B64="Triangular",4,IF(B64="Beta-Pert",5,IF(B64="Lognormal",6,IF(B64="Buffer",10,0)))))))</f>
        <v>2</v>
      </c>
      <c r="D64" s="6" t="str">
        <f>IF(C64=1,"",IF(C64=2,"X",IF(C64=3,"",IF(C64=4,"X",IF(C64=5,"X",IF(C64=6,"",IF(C64=10,"","X")))))))</f>
        <v>X</v>
      </c>
      <c r="E64" s="7" t="str">
        <f>IF(C64=1,"X",IF(C64=2,"X",IF(C64=3,"",IF(C64=4,"X",IF(C64=5,"X",IF(C64=6,"","X"))))))</f>
        <v>X</v>
      </c>
      <c r="F64" s="7">
        <v>0.03</v>
      </c>
      <c r="G64" s="7" t="str">
        <f>IF(C64=1,"X",IF(C64=2,"X",IF(C64=3,"X",IF(C64=4,"",IF(C64=5,"",IF(C64=6,"X","X"))))))</f>
        <v>X</v>
      </c>
      <c r="H64" s="7">
        <v>0.1</v>
      </c>
      <c r="I64" s="21" t="s">
        <v>57</v>
      </c>
      <c r="J64" s="19" t="s">
        <v>76</v>
      </c>
      <c r="K64" s="23" t="s">
        <v>84</v>
      </c>
    </row>
    <row r="65" spans="1:11" ht="15.6" thickTop="1" thickBot="1" x14ac:dyDescent="0.35">
      <c r="A65" s="9" t="s">
        <v>81</v>
      </c>
      <c r="B65" s="4" t="s">
        <v>9</v>
      </c>
      <c r="C65" s="4">
        <f t="shared" ref="C65" si="44">IF(B65="Determinista",1,IF(B65="Uniforme",2,IF(B65="Normal",3,IF(B65="Triangular",4,IF(B65="Beta-Pert",5,IF(B65="Lognormal",6,IF(B65="Buffer",10,0)))))))</f>
        <v>2</v>
      </c>
      <c r="D65" s="6" t="str">
        <f t="shared" ref="D65" si="45">IF(C65=1,"",IF(C65=2,"X",IF(C65=3,"",IF(C65=4,"X",IF(C65=5,"X",IF(C65=6,"",IF(C65=10,"","X")))))))</f>
        <v>X</v>
      </c>
      <c r="E65" s="7" t="str">
        <f t="shared" ref="E65" si="46">IF(C65=1,"X",IF(C65=2,"X",IF(C65=3,"",IF(C65=4,"X",IF(C65=5,"X",IF(C65=6,"","X"))))))</f>
        <v>X</v>
      </c>
      <c r="F65" s="7">
        <v>100</v>
      </c>
      <c r="G65" s="7" t="str">
        <f t="shared" ref="G65" si="47">IF(C65=1,"X",IF(C65=2,"X",IF(C65=3,"X",IF(C65=4,"",IF(C65=5,"",IF(C65=6,"X","X"))))))</f>
        <v>X</v>
      </c>
      <c r="H65" s="7">
        <v>750</v>
      </c>
      <c r="I65" s="21" t="s">
        <v>58</v>
      </c>
      <c r="J65" s="19" t="s">
        <v>76</v>
      </c>
      <c r="K65" s="27">
        <v>13</v>
      </c>
    </row>
    <row r="66" spans="1:11" ht="15.6" thickTop="1" thickBot="1" x14ac:dyDescent="0.35">
      <c r="A66" s="9" t="s">
        <v>83</v>
      </c>
      <c r="B66" s="4" t="s">
        <v>9</v>
      </c>
      <c r="C66" s="4">
        <f>IF(B66="Determinista",1,IF(B66="Uniforme",2,IF(B66="Normal",3,IF(B66="Triangular",4,IF(B66="Beta-Pert",5,IF(B66="Lognormal",6,IF(B66="Buffer",10,0)))))))</f>
        <v>2</v>
      </c>
      <c r="D66" s="6" t="str">
        <f>IF(C66=1,"",IF(C66=2,"X",IF(C66=3,"",IF(C66=4,"X",IF(C66=5,"X",IF(C66=6,"",IF(C66=10,"","X")))))))</f>
        <v>X</v>
      </c>
      <c r="E66" s="7" t="str">
        <f>IF(C66=1,"X",IF(C66=2,"X",IF(C66=3,"",IF(C66=4,"X",IF(C66=5,"X",IF(C66=6,"","X"))))))</f>
        <v>X</v>
      </c>
      <c r="F66" s="7">
        <v>0.03</v>
      </c>
      <c r="G66" s="7" t="str">
        <f>IF(C66=1,"X",IF(C66=2,"X",IF(C66=3,"X",IF(C66=4,"",IF(C66=5,"",IF(C66=6,"X","X"))))))</f>
        <v>X</v>
      </c>
      <c r="H66" s="7">
        <v>0.1</v>
      </c>
      <c r="I66" s="21" t="s">
        <v>57</v>
      </c>
      <c r="J66" s="19" t="s">
        <v>76</v>
      </c>
      <c r="K66" s="23" t="s">
        <v>86</v>
      </c>
    </row>
    <row r="67" spans="1:11" ht="15.6" thickTop="1" thickBot="1" x14ac:dyDescent="0.35">
      <c r="A67" s="9" t="s">
        <v>83</v>
      </c>
      <c r="B67" s="4" t="s">
        <v>9</v>
      </c>
      <c r="C67" s="4">
        <f t="shared" ref="C67" si="48">IF(B67="Determinista",1,IF(B67="Uniforme",2,IF(B67="Normal",3,IF(B67="Triangular",4,IF(B67="Beta-Pert",5,IF(B67="Lognormal",6,IF(B67="Buffer",10,0)))))))</f>
        <v>2</v>
      </c>
      <c r="D67" s="6" t="str">
        <f t="shared" ref="D67" si="49">IF(C67=1,"",IF(C67=2,"X",IF(C67=3,"",IF(C67=4,"X",IF(C67=5,"X",IF(C67=6,"",IF(C67=10,"","X")))))))</f>
        <v>X</v>
      </c>
      <c r="E67" s="7" t="str">
        <f t="shared" ref="E67" si="50">IF(C67=1,"X",IF(C67=2,"X",IF(C67=3,"",IF(C67=4,"X",IF(C67=5,"X",IF(C67=6,"","X"))))))</f>
        <v>X</v>
      </c>
      <c r="F67" s="7">
        <v>750</v>
      </c>
      <c r="G67" s="7" t="str">
        <f t="shared" ref="G67" si="51">IF(C67=1,"X",IF(C67=2,"X",IF(C67=3,"X",IF(C67=4,"",IF(C67=5,"",IF(C67=6,"X","X"))))))</f>
        <v>X</v>
      </c>
      <c r="H67" s="7">
        <v>2500</v>
      </c>
      <c r="I67" s="21" t="s">
        <v>58</v>
      </c>
      <c r="J67" s="19" t="s">
        <v>76</v>
      </c>
      <c r="K67" s="27">
        <v>26</v>
      </c>
    </row>
    <row r="68" spans="1:11" ht="15.6" thickTop="1" thickBot="1" x14ac:dyDescent="0.35">
      <c r="A68" s="9" t="s">
        <v>85</v>
      </c>
      <c r="B68" s="4" t="s">
        <v>9</v>
      </c>
      <c r="C68" s="4">
        <f>IF(B68="Determinista",1,IF(B68="Uniforme",2,IF(B68="Normal",3,IF(B68="Triangular",4,IF(B68="Beta-Pert",5,IF(B68="Lognormal",6,IF(B68="Buffer",10,0)))))))</f>
        <v>2</v>
      </c>
      <c r="D68" s="6" t="str">
        <f>IF(C68=1,"",IF(C68=2,"X",IF(C68=3,"",IF(C68=4,"X",IF(C68=5,"X",IF(C68=6,"",IF(C68=10,"","X")))))))</f>
        <v>X</v>
      </c>
      <c r="E68" s="7" t="str">
        <f>IF(C68=1,"X",IF(C68=2,"X",IF(C68=3,"",IF(C68=4,"X",IF(C68=5,"X",IF(C68=6,"","X"))))))</f>
        <v>X</v>
      </c>
      <c r="F68" s="7">
        <v>0</v>
      </c>
      <c r="G68" s="7" t="str">
        <f>IF(C68=1,"X",IF(C68=2,"X",IF(C68=3,"X",IF(C68=4,"",IF(C68=5,"",IF(C68=6,"X","X"))))))</f>
        <v>X</v>
      </c>
      <c r="H68" s="7">
        <v>0.03</v>
      </c>
      <c r="I68" s="21" t="s">
        <v>57</v>
      </c>
      <c r="J68" s="19" t="s">
        <v>76</v>
      </c>
      <c r="K68" s="23" t="s">
        <v>88</v>
      </c>
    </row>
    <row r="69" spans="1:11" ht="15.6" thickTop="1" thickBot="1" x14ac:dyDescent="0.35">
      <c r="A69" s="9" t="s">
        <v>85</v>
      </c>
      <c r="B69" s="4" t="s">
        <v>9</v>
      </c>
      <c r="C69" s="4">
        <f t="shared" ref="C69" si="52">IF(B69="Determinista",1,IF(B69="Uniforme",2,IF(B69="Normal",3,IF(B69="Triangular",4,IF(B69="Beta-Pert",5,IF(B69="Lognormal",6,IF(B69="Buffer",10,0)))))))</f>
        <v>2</v>
      </c>
      <c r="D69" s="6" t="str">
        <f t="shared" ref="D69" si="53">IF(C69=1,"",IF(C69=2,"X",IF(C69=3,"",IF(C69=4,"X",IF(C69=5,"X",IF(C69=6,"",IF(C69=10,"","X")))))))</f>
        <v>X</v>
      </c>
      <c r="E69" s="7" t="str">
        <f t="shared" ref="E69" si="54">IF(C69=1,"X",IF(C69=2,"X",IF(C69=3,"",IF(C69=4,"X",IF(C69=5,"X",IF(C69=6,"","X"))))))</f>
        <v>X</v>
      </c>
      <c r="F69" s="7">
        <v>0</v>
      </c>
      <c r="G69" s="7" t="str">
        <f t="shared" ref="G69" si="55">IF(C69=1,"X",IF(C69=2,"X",IF(C69=3,"X",IF(C69=4,"",IF(C69=5,"",IF(C69=6,"X","X"))))))</f>
        <v>X</v>
      </c>
      <c r="H69" s="7">
        <v>100</v>
      </c>
      <c r="I69" s="21" t="s">
        <v>58</v>
      </c>
      <c r="J69" s="19" t="s">
        <v>76</v>
      </c>
      <c r="K69" s="27">
        <v>30</v>
      </c>
    </row>
    <row r="70" spans="1:11" ht="15.6" thickTop="1" thickBot="1" x14ac:dyDescent="0.35">
      <c r="A70" s="9" t="s">
        <v>87</v>
      </c>
      <c r="B70" s="4" t="s">
        <v>9</v>
      </c>
      <c r="C70" s="4">
        <f>IF(B70="Determinista",1,IF(B70="Uniforme",2,IF(B70="Normal",3,IF(B70="Triangular",4,IF(B70="Beta-Pert",5,IF(B70="Lognormal",6,IF(B70="Buffer",10,0)))))))</f>
        <v>2</v>
      </c>
      <c r="D70" s="6" t="str">
        <f>IF(C70=1,"",IF(C70=2,"X",IF(C70=3,"",IF(C70=4,"X",IF(C70=5,"X",IF(C70=6,"",IF(C70=10,"","X")))))))</f>
        <v>X</v>
      </c>
      <c r="E70" s="7" t="str">
        <f>IF(C70=1,"X",IF(C70=2,"X",IF(C70=3,"",IF(C70=4,"X",IF(C70=5,"X",IF(C70=6,"","X"))))))</f>
        <v>X</v>
      </c>
      <c r="F70" s="7">
        <v>0.03</v>
      </c>
      <c r="G70" s="7" t="str">
        <f>IF(C70=1,"X",IF(C70=2,"X",IF(C70=3,"X",IF(C70=4,"",IF(C70=5,"",IF(C70=6,"X","X"))))))</f>
        <v>X</v>
      </c>
      <c r="H70" s="7">
        <v>0.1</v>
      </c>
      <c r="I70" s="21" t="s">
        <v>57</v>
      </c>
      <c r="J70" s="19" t="s">
        <v>76</v>
      </c>
      <c r="K70" s="23" t="s">
        <v>92</v>
      </c>
    </row>
    <row r="71" spans="1:11" ht="15" thickTop="1" x14ac:dyDescent="0.3">
      <c r="A71" s="9" t="s">
        <v>87</v>
      </c>
      <c r="B71" s="4" t="s">
        <v>9</v>
      </c>
      <c r="C71" s="4">
        <f t="shared" ref="C71" si="56">IF(B71="Determinista",1,IF(B71="Uniforme",2,IF(B71="Normal",3,IF(B71="Triangular",4,IF(B71="Beta-Pert",5,IF(B71="Lognormal",6,IF(B71="Buffer",10,0)))))))</f>
        <v>2</v>
      </c>
      <c r="D71" s="6" t="str">
        <f t="shared" ref="D71" si="57">IF(C71=1,"",IF(C71=2,"X",IF(C71=3,"",IF(C71=4,"X",IF(C71=5,"X",IF(C71=6,"",IF(C71=10,"","X")))))))</f>
        <v>X</v>
      </c>
      <c r="E71" s="7" t="str">
        <f t="shared" ref="E71" si="58">IF(C71=1,"X",IF(C71=2,"X",IF(C71=3,"",IF(C71=4,"X",IF(C71=5,"X",IF(C71=6,"","X"))))))</f>
        <v>X</v>
      </c>
      <c r="F71" s="7">
        <v>2500</v>
      </c>
      <c r="G71" s="7" t="str">
        <f t="shared" ref="G71" si="59">IF(C71=1,"X",IF(C71=2,"X",IF(C71=3,"X",IF(C71=4,"",IF(C71=5,"",IF(C71=6,"X","X"))))))</f>
        <v>X</v>
      </c>
      <c r="H71" s="7">
        <v>6000</v>
      </c>
      <c r="I71" s="21" t="s">
        <v>58</v>
      </c>
      <c r="J71" s="19" t="s">
        <v>76</v>
      </c>
      <c r="K71" s="27">
        <v>31</v>
      </c>
    </row>
    <row r="72" spans="1:11" x14ac:dyDescent="0.3">
      <c r="D72" s="10" t="s">
        <v>89</v>
      </c>
    </row>
    <row r="73" spans="1:11" x14ac:dyDescent="0.3">
      <c r="D73" s="10" t="s">
        <v>90</v>
      </c>
    </row>
  </sheetData>
  <mergeCells count="2">
    <mergeCell ref="B6:I6"/>
    <mergeCell ref="J6:Q6"/>
  </mergeCells>
  <phoneticPr fontId="5" type="noConversion"/>
  <conditionalFormatting sqref="C8:C39">
    <cfRule type="cellIs" dxfId="12" priority="2782" operator="equal">
      <formula>10</formula>
    </cfRule>
  </conditionalFormatting>
  <conditionalFormatting sqref="C42:C71">
    <cfRule type="cellIs" dxfId="11" priority="67" operator="equal">
      <formula>10</formula>
    </cfRule>
  </conditionalFormatting>
  <conditionalFormatting sqref="D8:H39">
    <cfRule type="cellIs" dxfId="10" priority="2785" operator="notEqual">
      <formula>"X"</formula>
    </cfRule>
    <cfRule type="cellIs" dxfId="9" priority="2786" operator="equal">
      <formula>"X"</formula>
    </cfRule>
  </conditionalFormatting>
  <conditionalFormatting sqref="D42:H71">
    <cfRule type="cellIs" dxfId="8" priority="1" operator="notEqual">
      <formula>"X"</formula>
    </cfRule>
    <cfRule type="cellIs" dxfId="7" priority="2" operator="equal">
      <formula>"X"</formula>
    </cfRule>
  </conditionalFormatting>
  <conditionalFormatting sqref="K8:O39">
    <cfRule type="cellIs" dxfId="6" priority="1175" operator="equal">
      <formula>"X"</formula>
    </cfRule>
    <cfRule type="cellIs" dxfId="5" priority="1176" operator="notEqual">
      <formula>"X"</formula>
    </cfRule>
  </conditionalFormatting>
  <conditionalFormatting sqref="P8:P39">
    <cfRule type="cellIs" dxfId="4" priority="1408" operator="equal">
      <formula>10</formula>
    </cfRule>
  </conditionalFormatting>
  <dataValidations count="2">
    <dataValidation type="list" allowBlank="1" showInputMessage="1" showErrorMessage="1" sqref="B8:B39 B42:B71" xr:uid="{00000000-0002-0000-0000-000000000000}">
      <formula1>#REF!</formula1>
    </dataValidation>
    <dataValidation type="list" allowBlank="1" showInputMessage="1" showErrorMessage="1" sqref="Q8:Q39" xr:uid="{CAF9A8C9-5FF9-4E3F-ACAD-B233A60BDF75}">
      <formula1>#REF!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2" r:id="rId4" name="Button 4">
              <controlPr defaultSize="0" print="0" autoFill="0" autoPict="0" macro="[0]!Generar_tabla_Act">
                <anchor moveWithCells="1" sizeWithCells="1">
                  <from>
                    <xdr:col>3</xdr:col>
                    <xdr:colOff>0</xdr:colOff>
                    <xdr:row>0</xdr:row>
                    <xdr:rowOff>0</xdr:rowOff>
                  </from>
                  <to>
                    <xdr:col>5</xdr:col>
                    <xdr:colOff>480060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5" name="Button 5">
              <controlPr defaultSize="0" print="0" autoFill="0" autoPict="0" macro="[0]!Módulo3.Generar_Riesgos_Duración">
                <anchor moveWithCells="1" sizeWithCells="1">
                  <from>
                    <xdr:col>11</xdr:col>
                    <xdr:colOff>30480</xdr:colOff>
                    <xdr:row>0</xdr:row>
                    <xdr:rowOff>0</xdr:rowOff>
                  </from>
                  <to>
                    <xdr:col>13</xdr:col>
                    <xdr:colOff>495300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6" name="Button 6">
              <controlPr defaultSize="0" print="0" autoFill="0" autoPict="0" macro="[0]!Módulo4.Generar_Riesgos_Coste">
                <anchor moveWithCells="1" sizeWithCells="1">
                  <from>
                    <xdr:col>11</xdr:col>
                    <xdr:colOff>30480</xdr:colOff>
                    <xdr:row>2</xdr:row>
                    <xdr:rowOff>0</xdr:rowOff>
                  </from>
                  <to>
                    <xdr:col>13</xdr:col>
                    <xdr:colOff>495300</xdr:colOff>
                    <xdr:row>2</xdr:row>
                    <xdr:rowOff>335280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64864-08D7-478F-96A6-1BE370780DA0}">
  <dimension ref="A1:K38"/>
  <sheetViews>
    <sheetView zoomScale="85" zoomScaleNormal="85" workbookViewId="0">
      <selection activeCell="A3" sqref="A3"/>
    </sheetView>
  </sheetViews>
  <sheetFormatPr baseColWidth="10" defaultColWidth="11.44140625" defaultRowHeight="14.4" x14ac:dyDescent="0.3"/>
  <cols>
    <col min="1" max="1" width="8.109375" style="25" bestFit="1" customWidth="1"/>
    <col min="2" max="2" width="6.33203125" style="25" bestFit="1" customWidth="1"/>
    <col min="3" max="3" width="54" bestFit="1" customWidth="1"/>
    <col min="4" max="4" width="23.44140625" bestFit="1" customWidth="1"/>
    <col min="5" max="5" width="19.109375" bestFit="1" customWidth="1"/>
    <col min="6" max="6" width="7.88671875" customWidth="1"/>
    <col min="7" max="7" width="11.88671875" customWidth="1"/>
    <col min="8" max="9" width="9.44140625" customWidth="1"/>
    <col min="10" max="10" width="15.44140625" bestFit="1" customWidth="1"/>
    <col min="11" max="11" width="141.6640625" bestFit="1" customWidth="1"/>
    <col min="12" max="12" width="104.5546875" customWidth="1"/>
    <col min="16" max="16" width="14.44140625" bestFit="1" customWidth="1"/>
    <col min="17" max="17" width="14" bestFit="1" customWidth="1"/>
    <col min="19" max="19" width="14.44140625" bestFit="1" customWidth="1"/>
    <col min="20" max="20" width="14" bestFit="1" customWidth="1"/>
    <col min="21" max="21" width="18" bestFit="1" customWidth="1"/>
    <col min="23" max="23" width="14.44140625" bestFit="1" customWidth="1"/>
    <col min="24" max="24" width="14" bestFit="1" customWidth="1"/>
    <col min="25" max="25" width="19.109375" bestFit="1" customWidth="1"/>
  </cols>
  <sheetData>
    <row r="1" spans="1:11" ht="15" thickBot="1" x14ac:dyDescent="0.35"/>
    <row r="2" spans="1:11" ht="15" thickBot="1" x14ac:dyDescent="0.35">
      <c r="A2" s="25" t="s">
        <v>185</v>
      </c>
      <c r="B2" s="25" t="s">
        <v>94</v>
      </c>
      <c r="C2" s="126" t="s">
        <v>216</v>
      </c>
      <c r="D2" s="127"/>
      <c r="E2" s="127"/>
      <c r="F2" s="127"/>
      <c r="G2" s="127"/>
      <c r="H2" s="127"/>
      <c r="I2" s="127"/>
      <c r="J2" s="127"/>
      <c r="K2" s="128"/>
    </row>
    <row r="3" spans="1:11" ht="30.75" customHeight="1" thickBot="1" x14ac:dyDescent="0.35">
      <c r="C3" s="31" t="s">
        <v>215</v>
      </c>
      <c r="D3" s="32" t="s">
        <v>186</v>
      </c>
      <c r="E3" s="33" t="s">
        <v>187</v>
      </c>
      <c r="F3" s="129" t="s">
        <v>188</v>
      </c>
      <c r="G3" s="129"/>
      <c r="H3" s="129" t="s">
        <v>189</v>
      </c>
      <c r="I3" s="129"/>
      <c r="J3" s="34" t="s">
        <v>190</v>
      </c>
      <c r="K3" s="35" t="s">
        <v>191</v>
      </c>
    </row>
    <row r="4" spans="1:11" ht="15" thickTop="1" x14ac:dyDescent="0.3">
      <c r="B4" s="25" t="s">
        <v>60</v>
      </c>
      <c r="C4" s="114" t="s">
        <v>175</v>
      </c>
      <c r="D4" s="36" t="s">
        <v>95</v>
      </c>
      <c r="E4" s="37" t="s">
        <v>197</v>
      </c>
      <c r="F4" s="36" t="s">
        <v>97</v>
      </c>
      <c r="G4" s="38"/>
      <c r="H4" s="39" t="s">
        <v>98</v>
      </c>
      <c r="I4" s="38" t="s">
        <v>99</v>
      </c>
      <c r="J4" s="40" t="s">
        <v>100</v>
      </c>
      <c r="K4" s="41" t="s">
        <v>192</v>
      </c>
    </row>
    <row r="5" spans="1:11" x14ac:dyDescent="0.3">
      <c r="A5" s="25" t="s">
        <v>101</v>
      </c>
      <c r="B5" s="25" t="s">
        <v>62</v>
      </c>
      <c r="C5" s="115" t="s">
        <v>176</v>
      </c>
      <c r="D5" s="42" t="s">
        <v>95</v>
      </c>
      <c r="E5" s="43" t="s">
        <v>198</v>
      </c>
      <c r="F5" s="42" t="s">
        <v>196</v>
      </c>
      <c r="G5" s="44" t="s">
        <v>103</v>
      </c>
      <c r="H5" s="45" t="s">
        <v>104</v>
      </c>
      <c r="I5" s="46" t="s">
        <v>105</v>
      </c>
      <c r="J5" s="47" t="s">
        <v>106</v>
      </c>
      <c r="K5" s="48" t="s">
        <v>193</v>
      </c>
    </row>
    <row r="6" spans="1:11" x14ac:dyDescent="0.3">
      <c r="A6" s="25" t="s">
        <v>107</v>
      </c>
      <c r="C6" s="115" t="s">
        <v>177</v>
      </c>
      <c r="D6" s="42" t="s">
        <v>108</v>
      </c>
      <c r="E6" s="43" t="s">
        <v>196</v>
      </c>
      <c r="F6" s="42" t="s">
        <v>104</v>
      </c>
      <c r="G6" s="44" t="s">
        <v>109</v>
      </c>
      <c r="H6" s="49" t="s">
        <v>97</v>
      </c>
      <c r="I6" s="46"/>
      <c r="J6" s="50" t="s">
        <v>110</v>
      </c>
      <c r="K6" s="48"/>
    </row>
    <row r="7" spans="1:11" x14ac:dyDescent="0.3">
      <c r="A7" s="25" t="s">
        <v>111</v>
      </c>
      <c r="B7" s="25" t="s">
        <v>64</v>
      </c>
      <c r="C7" s="115" t="s">
        <v>178</v>
      </c>
      <c r="D7" s="42" t="s">
        <v>108</v>
      </c>
      <c r="E7" s="43" t="s">
        <v>196</v>
      </c>
      <c r="F7" s="42" t="s">
        <v>196</v>
      </c>
      <c r="G7" s="44" t="s">
        <v>103</v>
      </c>
      <c r="H7" s="45" t="s">
        <v>102</v>
      </c>
      <c r="I7" s="46" t="s">
        <v>112</v>
      </c>
      <c r="J7" s="50" t="s">
        <v>113</v>
      </c>
      <c r="K7" s="48" t="s">
        <v>194</v>
      </c>
    </row>
    <row r="8" spans="1:11" x14ac:dyDescent="0.3">
      <c r="B8" s="25" t="s">
        <v>66</v>
      </c>
      <c r="C8" s="115" t="s">
        <v>179</v>
      </c>
      <c r="D8" s="42" t="s">
        <v>108</v>
      </c>
      <c r="E8" s="43" t="s">
        <v>104</v>
      </c>
      <c r="F8" s="42" t="s">
        <v>97</v>
      </c>
      <c r="G8" s="44"/>
      <c r="H8" s="51" t="s">
        <v>98</v>
      </c>
      <c r="I8" s="52" t="s">
        <v>99</v>
      </c>
      <c r="J8" s="50" t="s">
        <v>114</v>
      </c>
      <c r="K8" s="48"/>
    </row>
    <row r="9" spans="1:11" x14ac:dyDescent="0.3">
      <c r="B9" s="25" t="s">
        <v>68</v>
      </c>
      <c r="C9" s="115" t="s">
        <v>115</v>
      </c>
      <c r="D9" s="42" t="s">
        <v>116</v>
      </c>
      <c r="E9" s="43" t="s">
        <v>104</v>
      </c>
      <c r="F9" s="42" t="s">
        <v>97</v>
      </c>
      <c r="G9" s="44"/>
      <c r="H9" s="45" t="s">
        <v>104</v>
      </c>
      <c r="I9" s="46" t="s">
        <v>105</v>
      </c>
      <c r="J9" s="50" t="s">
        <v>117</v>
      </c>
      <c r="K9" s="48"/>
    </row>
    <row r="10" spans="1:11" x14ac:dyDescent="0.3">
      <c r="A10" s="25" t="s">
        <v>118</v>
      </c>
      <c r="B10" s="25" t="s">
        <v>70</v>
      </c>
      <c r="C10" s="115" t="s">
        <v>180</v>
      </c>
      <c r="D10" s="42" t="s">
        <v>116</v>
      </c>
      <c r="E10" s="43" t="s">
        <v>196</v>
      </c>
      <c r="F10" s="42" t="s">
        <v>104</v>
      </c>
      <c r="G10" s="44" t="s">
        <v>109</v>
      </c>
      <c r="H10" s="45" t="s">
        <v>98</v>
      </c>
      <c r="I10" s="52" t="s">
        <v>99</v>
      </c>
      <c r="J10" s="50" t="s">
        <v>119</v>
      </c>
      <c r="K10" s="48" t="s">
        <v>195</v>
      </c>
    </row>
    <row r="11" spans="1:11" x14ac:dyDescent="0.3">
      <c r="A11" s="25" t="s">
        <v>120</v>
      </c>
      <c r="B11" s="25" t="s">
        <v>72</v>
      </c>
      <c r="C11" s="115" t="s">
        <v>181</v>
      </c>
      <c r="D11" s="42" t="s">
        <v>116</v>
      </c>
      <c r="E11" s="43" t="s">
        <v>197</v>
      </c>
      <c r="F11" s="42" t="s">
        <v>197</v>
      </c>
      <c r="G11" s="44" t="s">
        <v>121</v>
      </c>
      <c r="H11" s="45" t="s">
        <v>104</v>
      </c>
      <c r="I11" s="46" t="s">
        <v>105</v>
      </c>
      <c r="J11" s="50" t="s">
        <v>122</v>
      </c>
      <c r="K11" s="48"/>
    </row>
    <row r="12" spans="1:11" x14ac:dyDescent="0.3">
      <c r="B12" s="25" t="s">
        <v>74</v>
      </c>
      <c r="C12" s="115" t="s">
        <v>182</v>
      </c>
      <c r="D12" s="42" t="s">
        <v>116</v>
      </c>
      <c r="E12" s="43" t="s">
        <v>104</v>
      </c>
      <c r="F12" s="42" t="s">
        <v>97</v>
      </c>
      <c r="G12" s="44"/>
      <c r="H12" s="45" t="s">
        <v>104</v>
      </c>
      <c r="I12" s="46" t="s">
        <v>105</v>
      </c>
      <c r="J12" s="50" t="s">
        <v>123</v>
      </c>
      <c r="K12" s="48"/>
    </row>
    <row r="13" spans="1:11" x14ac:dyDescent="0.3">
      <c r="B13" s="25" t="s">
        <v>78</v>
      </c>
      <c r="C13" s="115" t="s">
        <v>183</v>
      </c>
      <c r="D13" s="42" t="s">
        <v>116</v>
      </c>
      <c r="E13" s="43" t="s">
        <v>196</v>
      </c>
      <c r="F13" s="53" t="s">
        <v>97</v>
      </c>
      <c r="G13" s="54" t="s">
        <v>97</v>
      </c>
      <c r="H13" s="45" t="s">
        <v>104</v>
      </c>
      <c r="I13" s="46" t="s">
        <v>105</v>
      </c>
      <c r="J13" s="50" t="s">
        <v>124</v>
      </c>
      <c r="K13" s="55"/>
    </row>
    <row r="14" spans="1:11" ht="15" thickBot="1" x14ac:dyDescent="0.35">
      <c r="A14" s="25" t="s">
        <v>125</v>
      </c>
      <c r="C14" s="116" t="s">
        <v>184</v>
      </c>
      <c r="D14" s="56" t="s">
        <v>116</v>
      </c>
      <c r="E14" s="57" t="s">
        <v>196</v>
      </c>
      <c r="F14" s="56" t="s">
        <v>198</v>
      </c>
      <c r="G14" s="58" t="s">
        <v>126</v>
      </c>
      <c r="H14" s="56" t="s">
        <v>97</v>
      </c>
      <c r="I14" s="58"/>
      <c r="J14" s="59" t="s">
        <v>127</v>
      </c>
      <c r="K14" s="60"/>
    </row>
    <row r="15" spans="1:11" ht="15.6" thickTop="1" thickBot="1" x14ac:dyDescent="0.35"/>
    <row r="16" spans="1:11" ht="15" thickBot="1" x14ac:dyDescent="0.35">
      <c r="D16" s="130" t="s">
        <v>187</v>
      </c>
      <c r="E16" s="131"/>
      <c r="H16" s="61"/>
      <c r="I16" s="61"/>
    </row>
    <row r="17" spans="4:11" ht="15" thickBot="1" x14ac:dyDescent="0.35">
      <c r="D17" s="62" t="s">
        <v>204</v>
      </c>
      <c r="E17" s="63" t="s">
        <v>205</v>
      </c>
      <c r="H17" s="61"/>
      <c r="I17" s="61"/>
    </row>
    <row r="18" spans="4:11" x14ac:dyDescent="0.3">
      <c r="D18" s="64" t="s">
        <v>199</v>
      </c>
      <c r="E18" s="65" t="s">
        <v>129</v>
      </c>
      <c r="F18" s="10"/>
      <c r="G18" s="10"/>
      <c r="H18" s="61"/>
      <c r="I18" s="61"/>
      <c r="K18" s="10"/>
    </row>
    <row r="19" spans="4:11" x14ac:dyDescent="0.3">
      <c r="D19" s="66" t="s">
        <v>200</v>
      </c>
      <c r="E19" s="67" t="s">
        <v>130</v>
      </c>
      <c r="F19" s="10"/>
      <c r="G19" s="10"/>
      <c r="H19" s="61"/>
      <c r="I19" s="61"/>
      <c r="K19" s="10"/>
    </row>
    <row r="20" spans="4:11" x14ac:dyDescent="0.3">
      <c r="D20" s="66" t="s">
        <v>201</v>
      </c>
      <c r="E20" s="68" t="s">
        <v>131</v>
      </c>
    </row>
    <row r="21" spans="4:11" x14ac:dyDescent="0.3">
      <c r="D21" s="66" t="s">
        <v>202</v>
      </c>
      <c r="E21" s="67" t="s">
        <v>134</v>
      </c>
    </row>
    <row r="22" spans="4:11" ht="15" thickBot="1" x14ac:dyDescent="0.35">
      <c r="D22" s="69" t="s">
        <v>203</v>
      </c>
      <c r="E22" s="70" t="s">
        <v>135</v>
      </c>
    </row>
    <row r="23" spans="4:11" ht="15" thickBot="1" x14ac:dyDescent="0.35"/>
    <row r="24" spans="4:11" ht="15" thickBot="1" x14ac:dyDescent="0.35">
      <c r="D24" s="132" t="s">
        <v>188</v>
      </c>
      <c r="E24" s="133"/>
      <c r="F24" s="71"/>
      <c r="G24" s="71"/>
    </row>
    <row r="25" spans="4:11" ht="15" thickBot="1" x14ac:dyDescent="0.35">
      <c r="D25" s="72" t="s">
        <v>204</v>
      </c>
      <c r="E25" s="73" t="s">
        <v>205</v>
      </c>
      <c r="F25" s="71"/>
      <c r="G25" s="71"/>
    </row>
    <row r="26" spans="4:11" x14ac:dyDescent="0.3">
      <c r="D26" s="64" t="s">
        <v>199</v>
      </c>
      <c r="E26" s="74" t="s">
        <v>121</v>
      </c>
      <c r="F26" s="124"/>
      <c r="G26" s="125"/>
      <c r="H26" s="61"/>
    </row>
    <row r="27" spans="4:11" x14ac:dyDescent="0.3">
      <c r="D27" s="66" t="s">
        <v>200</v>
      </c>
      <c r="E27" s="75" t="s">
        <v>103</v>
      </c>
      <c r="F27" s="124"/>
      <c r="G27" s="125"/>
      <c r="H27" s="61"/>
    </row>
    <row r="28" spans="4:11" x14ac:dyDescent="0.3">
      <c r="D28" s="66" t="s">
        <v>201</v>
      </c>
      <c r="E28" s="75" t="s">
        <v>109</v>
      </c>
      <c r="F28" s="124"/>
      <c r="G28" s="125"/>
      <c r="H28" s="61"/>
    </row>
    <row r="29" spans="4:11" x14ac:dyDescent="0.3">
      <c r="D29" s="66" t="s">
        <v>202</v>
      </c>
      <c r="E29" s="75" t="s">
        <v>126</v>
      </c>
      <c r="F29" s="124"/>
      <c r="G29" s="125"/>
      <c r="H29" s="61"/>
    </row>
    <row r="30" spans="4:11" ht="15" thickBot="1" x14ac:dyDescent="0.35">
      <c r="D30" s="69" t="s">
        <v>203</v>
      </c>
      <c r="E30" s="76" t="s">
        <v>132</v>
      </c>
      <c r="F30" s="124"/>
      <c r="G30" s="125"/>
    </row>
    <row r="31" spans="4:11" ht="15" thickBot="1" x14ac:dyDescent="0.35">
      <c r="F31" s="71"/>
      <c r="G31" s="71"/>
    </row>
    <row r="32" spans="4:11" ht="15" thickBot="1" x14ac:dyDescent="0.35">
      <c r="D32" s="134" t="s">
        <v>189</v>
      </c>
      <c r="E32" s="135"/>
      <c r="F32" s="71"/>
      <c r="G32" s="71"/>
    </row>
    <row r="33" spans="4:8" ht="15" thickBot="1" x14ac:dyDescent="0.35">
      <c r="D33" s="77" t="s">
        <v>204</v>
      </c>
      <c r="E33" s="78" t="s">
        <v>205</v>
      </c>
      <c r="F33" s="71"/>
      <c r="G33" s="71"/>
    </row>
    <row r="34" spans="4:8" x14ac:dyDescent="0.3">
      <c r="D34" s="79" t="s">
        <v>199</v>
      </c>
      <c r="E34" s="80" t="s">
        <v>128</v>
      </c>
      <c r="F34" s="81"/>
      <c r="G34" s="81"/>
      <c r="H34" s="61"/>
    </row>
    <row r="35" spans="4:8" x14ac:dyDescent="0.3">
      <c r="D35" s="82" t="s">
        <v>200</v>
      </c>
      <c r="E35" s="83" t="s">
        <v>99</v>
      </c>
      <c r="F35" s="84"/>
      <c r="G35" s="84"/>
      <c r="H35" s="61"/>
    </row>
    <row r="36" spans="4:8" x14ac:dyDescent="0.3">
      <c r="D36" s="82" t="s">
        <v>201</v>
      </c>
      <c r="E36" s="83" t="s">
        <v>105</v>
      </c>
      <c r="F36" s="81"/>
      <c r="G36" s="81"/>
      <c r="H36" s="61"/>
    </row>
    <row r="37" spans="4:8" x14ac:dyDescent="0.3">
      <c r="D37" s="82" t="s">
        <v>202</v>
      </c>
      <c r="E37" s="83" t="s">
        <v>112</v>
      </c>
      <c r="F37" s="81"/>
      <c r="G37" s="81"/>
      <c r="H37" s="61"/>
    </row>
    <row r="38" spans="4:8" ht="15" thickBot="1" x14ac:dyDescent="0.35">
      <c r="D38" s="85" t="s">
        <v>203</v>
      </c>
      <c r="E38" s="86" t="s">
        <v>133</v>
      </c>
      <c r="F38" s="81"/>
      <c r="G38" s="81"/>
    </row>
  </sheetData>
  <mergeCells count="11">
    <mergeCell ref="F27:G27"/>
    <mergeCell ref="F28:G28"/>
    <mergeCell ref="F29:G29"/>
    <mergeCell ref="F30:G30"/>
    <mergeCell ref="D32:E32"/>
    <mergeCell ref="F26:G26"/>
    <mergeCell ref="C2:K2"/>
    <mergeCell ref="F3:G3"/>
    <mergeCell ref="H3:I3"/>
    <mergeCell ref="D16:E16"/>
    <mergeCell ref="D24:E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4C741-41B7-420C-82C0-4E416B21FCF4}">
  <dimension ref="A1:N18"/>
  <sheetViews>
    <sheetView zoomScale="90" zoomScaleNormal="90" workbookViewId="0"/>
  </sheetViews>
  <sheetFormatPr baseColWidth="10" defaultColWidth="11.44140625" defaultRowHeight="14.4" x14ac:dyDescent="0.3"/>
  <cols>
    <col min="1" max="1" width="8.33203125" customWidth="1"/>
    <col min="2" max="2" width="6.33203125" customWidth="1"/>
    <col min="6" max="6" width="13.109375" customWidth="1"/>
    <col min="7" max="7" width="20" customWidth="1"/>
    <col min="8" max="10" width="12.33203125" customWidth="1"/>
  </cols>
  <sheetData>
    <row r="1" spans="1:14" x14ac:dyDescent="0.3">
      <c r="C1" t="s">
        <v>169</v>
      </c>
    </row>
    <row r="3" spans="1:14" ht="15" thickBot="1" x14ac:dyDescent="0.35">
      <c r="D3" s="5" t="s">
        <v>57</v>
      </c>
      <c r="E3" s="5" t="s">
        <v>58</v>
      </c>
      <c r="F3" s="5" t="s">
        <v>170</v>
      </c>
      <c r="G3" s="5" t="s">
        <v>171</v>
      </c>
      <c r="H3" s="5" t="s">
        <v>206</v>
      </c>
      <c r="I3" s="5"/>
      <c r="J3" s="5"/>
      <c r="L3" s="87" t="s">
        <v>174</v>
      </c>
      <c r="M3" t="s">
        <v>136</v>
      </c>
      <c r="N3" t="s">
        <v>137</v>
      </c>
    </row>
    <row r="4" spans="1:14" x14ac:dyDescent="0.3">
      <c r="B4" s="88" t="s">
        <v>60</v>
      </c>
      <c r="C4" s="11" t="s">
        <v>138</v>
      </c>
      <c r="D4" s="89" t="s">
        <v>96</v>
      </c>
      <c r="E4" s="90" t="s">
        <v>98</v>
      </c>
      <c r="F4" s="25">
        <v>0.01</v>
      </c>
      <c r="G4" s="25" t="s">
        <v>172</v>
      </c>
      <c r="H4" s="91">
        <f>RANK(F4,$F$4:$F$12)</f>
        <v>9</v>
      </c>
      <c r="I4" s="25"/>
      <c r="J4" s="25">
        <f>RANK(F4,$F$4:$F$18)</f>
        <v>14</v>
      </c>
      <c r="K4" s="88" t="s">
        <v>60</v>
      </c>
      <c r="L4" s="87">
        <v>2</v>
      </c>
      <c r="M4" s="25">
        <v>9</v>
      </c>
      <c r="N4" s="25">
        <v>13</v>
      </c>
    </row>
    <row r="5" spans="1:14" x14ac:dyDescent="0.3">
      <c r="B5" s="88" t="s">
        <v>62</v>
      </c>
      <c r="C5" s="11" t="s">
        <v>139</v>
      </c>
      <c r="D5" s="89" t="s">
        <v>102</v>
      </c>
      <c r="E5" s="90" t="s">
        <v>104</v>
      </c>
      <c r="F5" s="25">
        <v>0.14000000000000001</v>
      </c>
      <c r="G5" s="25" t="s">
        <v>173</v>
      </c>
      <c r="H5" s="92">
        <f t="shared" ref="H5:H12" si="0">RANK(F5,$F$4:$F$12)</f>
        <v>1</v>
      </c>
      <c r="I5" s="25"/>
      <c r="J5" s="25">
        <f t="shared" ref="J5:J18" si="1">RANK(F5,$F$4:$F$18)</f>
        <v>1</v>
      </c>
      <c r="K5" s="88" t="s">
        <v>62</v>
      </c>
      <c r="L5" s="87">
        <v>6</v>
      </c>
      <c r="M5" s="25">
        <v>3</v>
      </c>
      <c r="N5" s="25">
        <v>7</v>
      </c>
    </row>
    <row r="6" spans="1:14" x14ac:dyDescent="0.3">
      <c r="B6" s="88" t="s">
        <v>64</v>
      </c>
      <c r="C6" s="11" t="s">
        <v>140</v>
      </c>
      <c r="D6" s="89" t="s">
        <v>98</v>
      </c>
      <c r="E6" s="90" t="s">
        <v>102</v>
      </c>
      <c r="F6" s="25">
        <v>0.12</v>
      </c>
      <c r="G6" s="25" t="s">
        <v>173</v>
      </c>
      <c r="H6" s="92">
        <f t="shared" si="0"/>
        <v>2</v>
      </c>
      <c r="I6" s="25"/>
      <c r="J6" s="25">
        <f t="shared" si="1"/>
        <v>2</v>
      </c>
      <c r="K6" s="88" t="s">
        <v>64</v>
      </c>
      <c r="L6" s="87">
        <v>9</v>
      </c>
      <c r="M6" s="25">
        <v>1</v>
      </c>
      <c r="N6" s="25">
        <v>14</v>
      </c>
    </row>
    <row r="7" spans="1:14" x14ac:dyDescent="0.3">
      <c r="B7" s="88" t="s">
        <v>66</v>
      </c>
      <c r="C7" s="11" t="s">
        <v>141</v>
      </c>
      <c r="D7" s="89" t="s">
        <v>104</v>
      </c>
      <c r="E7" s="90" t="s">
        <v>98</v>
      </c>
      <c r="F7" s="25">
        <v>0.05</v>
      </c>
      <c r="G7" s="25" t="s">
        <v>172</v>
      </c>
      <c r="H7" s="92">
        <f t="shared" si="0"/>
        <v>6</v>
      </c>
      <c r="I7" s="25"/>
      <c r="J7" s="25">
        <f t="shared" si="1"/>
        <v>10</v>
      </c>
      <c r="K7" s="88" t="s">
        <v>66</v>
      </c>
      <c r="L7" s="87">
        <v>12</v>
      </c>
      <c r="M7" s="25">
        <v>5</v>
      </c>
      <c r="N7" s="25">
        <v>14</v>
      </c>
    </row>
    <row r="8" spans="1:14" x14ac:dyDescent="0.3">
      <c r="B8" s="88" t="s">
        <v>68</v>
      </c>
      <c r="C8" s="11" t="s">
        <v>142</v>
      </c>
      <c r="D8" s="89" t="s">
        <v>104</v>
      </c>
      <c r="E8" s="90" t="s">
        <v>104</v>
      </c>
      <c r="F8" s="25">
        <v>0.1</v>
      </c>
      <c r="G8" s="25" t="s">
        <v>173</v>
      </c>
      <c r="H8" s="92">
        <f t="shared" si="0"/>
        <v>3</v>
      </c>
      <c r="I8" s="25"/>
      <c r="J8" s="25">
        <f t="shared" si="1"/>
        <v>4</v>
      </c>
      <c r="K8" s="88" t="s">
        <v>68</v>
      </c>
      <c r="L8" s="87">
        <v>28</v>
      </c>
      <c r="M8" s="25">
        <v>2</v>
      </c>
      <c r="N8" s="25">
        <v>4</v>
      </c>
    </row>
    <row r="9" spans="1:14" x14ac:dyDescent="0.3">
      <c r="B9" s="88" t="s">
        <v>70</v>
      </c>
      <c r="C9" s="11" t="s">
        <v>143</v>
      </c>
      <c r="D9" s="89" t="s">
        <v>98</v>
      </c>
      <c r="E9" s="90" t="s">
        <v>98</v>
      </c>
      <c r="F9" s="25">
        <v>0.03</v>
      </c>
      <c r="G9" s="25" t="s">
        <v>173</v>
      </c>
      <c r="H9" s="92">
        <f t="shared" si="0"/>
        <v>7</v>
      </c>
      <c r="I9" s="25"/>
      <c r="J9" s="25">
        <f t="shared" si="1"/>
        <v>11</v>
      </c>
      <c r="K9" s="88" t="s">
        <v>70</v>
      </c>
      <c r="L9" s="87">
        <v>26</v>
      </c>
      <c r="M9" s="25">
        <v>8</v>
      </c>
      <c r="N9" s="25">
        <v>9</v>
      </c>
    </row>
    <row r="10" spans="1:14" x14ac:dyDescent="0.3">
      <c r="B10" s="88" t="s">
        <v>72</v>
      </c>
      <c r="C10" s="11" t="s">
        <v>144</v>
      </c>
      <c r="D10" s="89" t="s">
        <v>96</v>
      </c>
      <c r="E10" s="90" t="s">
        <v>104</v>
      </c>
      <c r="F10" s="25">
        <v>0.02</v>
      </c>
      <c r="G10" s="25" t="s">
        <v>173</v>
      </c>
      <c r="H10" s="92">
        <f t="shared" si="0"/>
        <v>8</v>
      </c>
      <c r="I10" s="25"/>
      <c r="J10" s="25">
        <f>RANK(F10,$F$4:$F$18)</f>
        <v>13</v>
      </c>
      <c r="K10" s="88" t="s">
        <v>72</v>
      </c>
      <c r="L10" s="87">
        <v>30</v>
      </c>
      <c r="M10" s="25">
        <v>6</v>
      </c>
      <c r="N10" s="25">
        <v>10</v>
      </c>
    </row>
    <row r="11" spans="1:14" x14ac:dyDescent="0.3">
      <c r="B11" s="88" t="s">
        <v>74</v>
      </c>
      <c r="C11" s="11" t="s">
        <v>145</v>
      </c>
      <c r="D11" s="89" t="s">
        <v>104</v>
      </c>
      <c r="E11" s="90" t="s">
        <v>104</v>
      </c>
      <c r="F11" s="25">
        <v>0.1</v>
      </c>
      <c r="G11" s="25" t="s">
        <v>172</v>
      </c>
      <c r="H11" s="92">
        <f t="shared" si="0"/>
        <v>3</v>
      </c>
      <c r="I11" s="25"/>
      <c r="J11" s="25">
        <f t="shared" si="1"/>
        <v>4</v>
      </c>
      <c r="K11" s="88" t="s">
        <v>74</v>
      </c>
      <c r="L11" s="87">
        <v>23</v>
      </c>
      <c r="M11" s="25">
        <v>4</v>
      </c>
      <c r="N11" s="25">
        <v>8</v>
      </c>
    </row>
    <row r="12" spans="1:14" ht="15" thickBot="1" x14ac:dyDescent="0.35">
      <c r="B12" s="88" t="s">
        <v>78</v>
      </c>
      <c r="C12" s="11" t="s">
        <v>146</v>
      </c>
      <c r="D12" s="89" t="s">
        <v>98</v>
      </c>
      <c r="E12" s="90" t="s">
        <v>104</v>
      </c>
      <c r="F12" s="25">
        <v>0.06</v>
      </c>
      <c r="G12" s="25" t="s">
        <v>173</v>
      </c>
      <c r="H12" s="93">
        <f t="shared" si="0"/>
        <v>5</v>
      </c>
      <c r="I12" s="25"/>
      <c r="J12" s="25">
        <f t="shared" si="1"/>
        <v>7</v>
      </c>
      <c r="K12" s="88" t="s">
        <v>78</v>
      </c>
      <c r="L12" s="87">
        <v>20</v>
      </c>
      <c r="M12" s="25">
        <v>7</v>
      </c>
      <c r="N12" s="25">
        <v>11</v>
      </c>
    </row>
    <row r="13" spans="1:14" x14ac:dyDescent="0.3">
      <c r="A13" s="87" t="s">
        <v>62</v>
      </c>
      <c r="B13" s="88" t="s">
        <v>147</v>
      </c>
      <c r="C13" s="11" t="s">
        <v>148</v>
      </c>
      <c r="D13" s="89" t="s">
        <v>102</v>
      </c>
      <c r="E13" s="90" t="s">
        <v>98</v>
      </c>
      <c r="F13" s="25">
        <v>7.0000000000000007E-2</v>
      </c>
      <c r="G13" s="25" t="s">
        <v>173</v>
      </c>
      <c r="H13" s="91">
        <f>RANK(F13,$F$13:$F$18)</f>
        <v>2</v>
      </c>
      <c r="I13" s="25"/>
      <c r="J13" s="25">
        <f t="shared" si="1"/>
        <v>6</v>
      </c>
      <c r="K13" s="88" t="s">
        <v>80</v>
      </c>
      <c r="L13" s="87">
        <v>6</v>
      </c>
      <c r="M13" s="25">
        <v>10</v>
      </c>
      <c r="N13" s="25">
        <v>5</v>
      </c>
    </row>
    <row r="14" spans="1:14" x14ac:dyDescent="0.3">
      <c r="B14" s="88" t="s">
        <v>149</v>
      </c>
      <c r="C14" s="11" t="s">
        <v>150</v>
      </c>
      <c r="D14" s="89" t="s">
        <v>98</v>
      </c>
      <c r="E14" s="90" t="s">
        <v>104</v>
      </c>
      <c r="F14" s="25">
        <v>0.06</v>
      </c>
      <c r="G14" s="25" t="s">
        <v>173</v>
      </c>
      <c r="H14" s="92">
        <f t="shared" ref="H14:H18" si="2">RANK(F14,$F$13:$F$18)</f>
        <v>3</v>
      </c>
      <c r="I14" s="25"/>
      <c r="J14" s="25">
        <f t="shared" si="1"/>
        <v>7</v>
      </c>
      <c r="K14" s="88" t="s">
        <v>82</v>
      </c>
      <c r="L14" s="87">
        <v>8</v>
      </c>
      <c r="M14" s="25">
        <v>10</v>
      </c>
      <c r="N14" s="25">
        <v>2</v>
      </c>
    </row>
    <row r="15" spans="1:14" x14ac:dyDescent="0.3">
      <c r="A15" s="87" t="s">
        <v>64</v>
      </c>
      <c r="B15" s="88" t="s">
        <v>151</v>
      </c>
      <c r="C15" s="11" t="s">
        <v>152</v>
      </c>
      <c r="D15" s="89" t="s">
        <v>98</v>
      </c>
      <c r="E15" s="90" t="s">
        <v>98</v>
      </c>
      <c r="F15" s="25">
        <v>0.03</v>
      </c>
      <c r="G15" s="25" t="s">
        <v>173</v>
      </c>
      <c r="H15" s="92">
        <f t="shared" si="2"/>
        <v>5</v>
      </c>
      <c r="I15" s="25"/>
      <c r="J15" s="25">
        <f t="shared" si="1"/>
        <v>11</v>
      </c>
      <c r="K15" s="88" t="s">
        <v>84</v>
      </c>
      <c r="L15" s="87">
        <v>9</v>
      </c>
      <c r="M15" s="25">
        <v>10</v>
      </c>
      <c r="N15" s="25">
        <v>6</v>
      </c>
    </row>
    <row r="16" spans="1:14" x14ac:dyDescent="0.3">
      <c r="A16" s="87" t="s">
        <v>70</v>
      </c>
      <c r="B16" s="88" t="s">
        <v>153</v>
      </c>
      <c r="C16" s="11" t="s">
        <v>154</v>
      </c>
      <c r="D16" s="89" t="s">
        <v>98</v>
      </c>
      <c r="E16" s="90" t="s">
        <v>104</v>
      </c>
      <c r="F16" s="25">
        <v>0.06</v>
      </c>
      <c r="G16" s="25" t="s">
        <v>173</v>
      </c>
      <c r="H16" s="92">
        <f t="shared" si="2"/>
        <v>3</v>
      </c>
      <c r="I16" s="25"/>
      <c r="J16" s="25">
        <f t="shared" si="1"/>
        <v>7</v>
      </c>
      <c r="K16" s="88" t="s">
        <v>86</v>
      </c>
      <c r="L16" s="87">
        <v>26</v>
      </c>
      <c r="M16" s="25">
        <v>10</v>
      </c>
      <c r="N16" s="25">
        <v>3</v>
      </c>
    </row>
    <row r="17" spans="1:14" x14ac:dyDescent="0.3">
      <c r="A17" s="87" t="s">
        <v>72</v>
      </c>
      <c r="B17" s="88" t="s">
        <v>155</v>
      </c>
      <c r="C17" s="11" t="s">
        <v>156</v>
      </c>
      <c r="D17" s="89" t="s">
        <v>96</v>
      </c>
      <c r="E17" s="90" t="s">
        <v>96</v>
      </c>
      <c r="F17" s="25">
        <v>5.0000000000000001E-3</v>
      </c>
      <c r="G17" s="25" t="s">
        <v>173</v>
      </c>
      <c r="H17" s="92">
        <f t="shared" si="2"/>
        <v>6</v>
      </c>
      <c r="I17" s="25"/>
      <c r="J17" s="25">
        <f t="shared" si="1"/>
        <v>15</v>
      </c>
      <c r="K17" s="88" t="s">
        <v>88</v>
      </c>
      <c r="L17" s="87">
        <v>30</v>
      </c>
      <c r="M17" s="25">
        <v>10</v>
      </c>
      <c r="N17" s="25">
        <v>12</v>
      </c>
    </row>
    <row r="18" spans="1:14" ht="15" thickBot="1" x14ac:dyDescent="0.35">
      <c r="B18" s="88" t="s">
        <v>157</v>
      </c>
      <c r="C18" s="11" t="s">
        <v>158</v>
      </c>
      <c r="D18" s="89" t="s">
        <v>98</v>
      </c>
      <c r="E18" s="90" t="s">
        <v>102</v>
      </c>
      <c r="F18" s="25">
        <v>0.12</v>
      </c>
      <c r="G18" s="25" t="s">
        <v>172</v>
      </c>
      <c r="H18" s="93">
        <f t="shared" si="2"/>
        <v>1</v>
      </c>
      <c r="I18" s="25"/>
      <c r="J18" s="25">
        <f t="shared" si="1"/>
        <v>2</v>
      </c>
      <c r="K18" s="88" t="s">
        <v>92</v>
      </c>
      <c r="L18" s="87">
        <v>31</v>
      </c>
      <c r="M18" s="25">
        <v>10</v>
      </c>
      <c r="N18" s="25">
        <v>1</v>
      </c>
    </row>
  </sheetData>
  <conditionalFormatting sqref="H13:I1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:J4 H14:I14 J5:J18 H5:I1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:M1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3" priority="5" operator="notEqual">
      <formula>H4</formula>
    </cfRule>
    <cfRule type="cellIs" dxfId="2" priority="6" operator="equal">
      <formula>H4</formula>
    </cfRule>
  </conditionalFormatting>
  <conditionalFormatting sqref="N4:N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3:N18">
    <cfRule type="cellIs" dxfId="1" priority="3" operator="notEqual">
      <formula>H13</formula>
    </cfRule>
    <cfRule type="cellIs" dxfId="0" priority="4" operator="equal">
      <formula>H13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56BA9-C204-4635-AFBE-C501FD7C4C66}">
  <dimension ref="B2:I13"/>
  <sheetViews>
    <sheetView showGridLines="0" workbookViewId="0"/>
  </sheetViews>
  <sheetFormatPr baseColWidth="10" defaultColWidth="11.44140625" defaultRowHeight="14.4" x14ac:dyDescent="0.3"/>
  <cols>
    <col min="2" max="2" width="12.5546875" bestFit="1" customWidth="1"/>
    <col min="4" max="4" width="6.33203125" customWidth="1"/>
    <col min="12" max="12" width="12.5546875" bestFit="1" customWidth="1"/>
  </cols>
  <sheetData>
    <row r="2" spans="2:9" ht="15" thickBot="1" x14ac:dyDescent="0.35">
      <c r="B2" s="107" t="s">
        <v>159</v>
      </c>
      <c r="C2" s="108" t="s">
        <v>160</v>
      </c>
      <c r="D2" s="4"/>
    </row>
    <row r="3" spans="2:9" ht="15.6" thickTop="1" thickBot="1" x14ac:dyDescent="0.35">
      <c r="B3" s="94" t="s">
        <v>161</v>
      </c>
      <c r="C3" s="109" t="s">
        <v>135</v>
      </c>
      <c r="D3" s="110">
        <v>0.9</v>
      </c>
      <c r="E3" s="95">
        <v>4.5000000000000005E-2</v>
      </c>
      <c r="F3" s="96">
        <v>9.0000000000000011E-2</v>
      </c>
      <c r="G3" s="96">
        <v>0.18000000000000002</v>
      </c>
      <c r="H3" s="97">
        <v>0.36000000000000004</v>
      </c>
      <c r="I3" s="96">
        <v>0.72000000000000008</v>
      </c>
    </row>
    <row r="4" spans="2:9" ht="15" thickBot="1" x14ac:dyDescent="0.35">
      <c r="B4" s="94" t="s">
        <v>162</v>
      </c>
      <c r="C4" s="111" t="s">
        <v>134</v>
      </c>
      <c r="D4" s="112">
        <v>0.7</v>
      </c>
      <c r="E4" s="98">
        <v>3.4999999999999996E-2</v>
      </c>
      <c r="F4" s="96">
        <v>6.9999999999999993E-2</v>
      </c>
      <c r="G4" s="96">
        <v>0.13999999999999999</v>
      </c>
      <c r="H4" s="99">
        <v>0.27999999999999997</v>
      </c>
      <c r="I4" s="96">
        <v>0.55999999999999994</v>
      </c>
    </row>
    <row r="5" spans="2:9" ht="15.6" thickTop="1" thickBot="1" x14ac:dyDescent="0.35">
      <c r="B5" s="94" t="s">
        <v>163</v>
      </c>
      <c r="C5" s="111" t="s">
        <v>131</v>
      </c>
      <c r="D5" s="112">
        <v>0.5</v>
      </c>
      <c r="E5" s="96">
        <v>2.5000000000000001E-2</v>
      </c>
      <c r="F5" s="95">
        <v>0.05</v>
      </c>
      <c r="G5" s="96">
        <v>0.1</v>
      </c>
      <c r="H5" s="96">
        <v>0.2</v>
      </c>
      <c r="I5" s="97">
        <v>0.4</v>
      </c>
    </row>
    <row r="6" spans="2:9" ht="15.6" thickTop="1" thickBot="1" x14ac:dyDescent="0.35">
      <c r="B6" s="94" t="s">
        <v>164</v>
      </c>
      <c r="C6" s="111" t="s">
        <v>130</v>
      </c>
      <c r="D6" s="112">
        <v>0.3</v>
      </c>
      <c r="E6" s="96">
        <v>1.4999999999999999E-2</v>
      </c>
      <c r="F6" s="96">
        <v>0.03</v>
      </c>
      <c r="G6" s="95">
        <v>0.06</v>
      </c>
      <c r="H6" s="96">
        <v>0.12</v>
      </c>
      <c r="I6" s="100">
        <v>0.24</v>
      </c>
    </row>
    <row r="7" spans="2:9" ht="15.6" thickTop="1" thickBot="1" x14ac:dyDescent="0.35">
      <c r="B7" s="94" t="s">
        <v>165</v>
      </c>
      <c r="C7" s="109" t="s">
        <v>129</v>
      </c>
      <c r="D7" s="110">
        <v>0.1</v>
      </c>
      <c r="E7" s="96">
        <v>5.000000000000001E-3</v>
      </c>
      <c r="F7" s="96">
        <v>1.0000000000000002E-2</v>
      </c>
      <c r="G7" s="96">
        <v>2.0000000000000004E-2</v>
      </c>
      <c r="H7" s="95">
        <v>4.0000000000000008E-2</v>
      </c>
      <c r="I7" s="96">
        <v>8.0000000000000016E-2</v>
      </c>
    </row>
    <row r="8" spans="2:9" x14ac:dyDescent="0.3">
      <c r="E8" s="113">
        <v>0.05</v>
      </c>
      <c r="F8" s="113">
        <v>0.1</v>
      </c>
      <c r="G8" s="113">
        <v>0.2</v>
      </c>
      <c r="H8" s="113">
        <v>0.4</v>
      </c>
      <c r="I8" s="113">
        <v>0.8</v>
      </c>
    </row>
    <row r="9" spans="2:9" x14ac:dyDescent="0.3">
      <c r="E9" s="101" t="s">
        <v>128</v>
      </c>
      <c r="F9" s="102" t="s">
        <v>99</v>
      </c>
      <c r="G9" s="102" t="s">
        <v>105</v>
      </c>
      <c r="H9" s="102" t="s">
        <v>112</v>
      </c>
      <c r="I9" s="101" t="s">
        <v>133</v>
      </c>
    </row>
    <row r="10" spans="2:9" ht="25.95" customHeight="1" x14ac:dyDescent="0.3">
      <c r="B10" s="136" t="s">
        <v>166</v>
      </c>
      <c r="C10" s="136"/>
      <c r="D10" s="137"/>
      <c r="E10" s="105" t="s">
        <v>165</v>
      </c>
      <c r="F10" s="105" t="s">
        <v>164</v>
      </c>
      <c r="G10" s="105" t="s">
        <v>163</v>
      </c>
      <c r="H10" s="105" t="s">
        <v>162</v>
      </c>
      <c r="I10" s="105" t="s">
        <v>161</v>
      </c>
    </row>
    <row r="12" spans="2:9" x14ac:dyDescent="0.3">
      <c r="E12" s="103" t="s">
        <v>121</v>
      </c>
      <c r="F12" s="104" t="s">
        <v>103</v>
      </c>
      <c r="G12" s="104" t="s">
        <v>109</v>
      </c>
      <c r="H12" s="104" t="s">
        <v>126</v>
      </c>
      <c r="I12" s="103" t="s">
        <v>167</v>
      </c>
    </row>
    <row r="13" spans="2:9" ht="27.6" x14ac:dyDescent="0.3">
      <c r="B13" s="138" t="s">
        <v>168</v>
      </c>
      <c r="C13" s="138"/>
      <c r="D13" s="138"/>
      <c r="E13" s="106" t="s">
        <v>165</v>
      </c>
      <c r="F13" s="106" t="s">
        <v>164</v>
      </c>
      <c r="G13" s="106" t="s">
        <v>163</v>
      </c>
      <c r="H13" s="106" t="s">
        <v>162</v>
      </c>
      <c r="I13" s="106" t="s">
        <v>161</v>
      </c>
    </row>
  </sheetData>
  <mergeCells count="2">
    <mergeCell ref="B10:D10"/>
    <mergeCell ref="B13:D13"/>
  </mergeCells>
  <conditionalFormatting sqref="E3:I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D598F-FA05-4DEC-8FC5-74978B5A7FB4}">
  <dimension ref="A1:C2"/>
  <sheetViews>
    <sheetView workbookViewId="0"/>
  </sheetViews>
  <sheetFormatPr baseColWidth="10" defaultRowHeight="14.4" x14ac:dyDescent="0.3"/>
  <cols>
    <col min="1" max="16384" width="11.5546875" style="117"/>
  </cols>
  <sheetData>
    <row r="1" spans="1:3" x14ac:dyDescent="0.3">
      <c r="A1" s="117" t="s">
        <v>212</v>
      </c>
      <c r="B1" s="117" t="s">
        <v>213</v>
      </c>
      <c r="C1" s="117" t="s">
        <v>214</v>
      </c>
    </row>
    <row r="2" spans="1:3" x14ac:dyDescent="0.3">
      <c r="A2" s="117">
        <v>95</v>
      </c>
      <c r="B2" s="117">
        <v>323.43394252641633</v>
      </c>
      <c r="C2" s="117">
        <v>30339.316005851651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10AD3-0AC2-4325-9A20-A4EE2099B62D}">
  <dimension ref="A1:G16"/>
  <sheetViews>
    <sheetView workbookViewId="0"/>
  </sheetViews>
  <sheetFormatPr baseColWidth="10" defaultColWidth="8.88671875" defaultRowHeight="14.4" x14ac:dyDescent="0.3"/>
  <cols>
    <col min="1" max="1" width="4.77734375" style="117" customWidth="1"/>
    <col min="2" max="2" width="15.33203125" style="117" customWidth="1"/>
    <col min="3" max="3" width="11.88671875" style="117" customWidth="1"/>
    <col min="4" max="4" width="24.88671875" style="117" customWidth="1"/>
    <col min="5" max="5" width="11.33203125" style="117" customWidth="1"/>
    <col min="6" max="6" width="21.44140625" style="117" customWidth="1"/>
    <col min="7" max="7" width="12.109375" style="117" customWidth="1"/>
    <col min="8" max="16384" width="8.88671875" style="117"/>
  </cols>
  <sheetData>
    <row r="1" spans="1:7" x14ac:dyDescent="0.3">
      <c r="A1" s="117" t="s">
        <v>207</v>
      </c>
      <c r="B1" s="117" t="s">
        <v>208</v>
      </c>
      <c r="C1" s="117" t="s">
        <v>209</v>
      </c>
      <c r="D1" s="117" t="s">
        <v>210</v>
      </c>
      <c r="E1" s="117" t="s">
        <v>136</v>
      </c>
      <c r="F1" s="117" t="s">
        <v>211</v>
      </c>
      <c r="G1" s="117" t="s">
        <v>137</v>
      </c>
    </row>
    <row r="2" spans="1:7" x14ac:dyDescent="0.3">
      <c r="A2" s="117" t="s">
        <v>60</v>
      </c>
      <c r="B2" s="117">
        <v>323.76875591829059</v>
      </c>
      <c r="C2" s="117">
        <v>30339.551709350202</v>
      </c>
      <c r="D2" s="117">
        <v>0.33481339187426329</v>
      </c>
      <c r="E2" s="117">
        <v>9</v>
      </c>
      <c r="F2" s="117">
        <v>0.23570349855071981</v>
      </c>
      <c r="G2" s="117">
        <v>13</v>
      </c>
    </row>
    <row r="3" spans="1:7" x14ac:dyDescent="0.3">
      <c r="A3" s="117" t="s">
        <v>62</v>
      </c>
      <c r="B3" s="117">
        <v>346.07296815146037</v>
      </c>
      <c r="C3" s="117">
        <v>30407.675468015608</v>
      </c>
      <c r="D3" s="117">
        <v>22.639025625044042</v>
      </c>
      <c r="E3" s="117">
        <v>3</v>
      </c>
      <c r="F3" s="117">
        <v>68.359462163956778</v>
      </c>
      <c r="G3" s="117">
        <v>7</v>
      </c>
    </row>
    <row r="4" spans="1:7" x14ac:dyDescent="0.3">
      <c r="A4" s="117" t="s">
        <v>64</v>
      </c>
      <c r="B4" s="117">
        <v>349.76411189946259</v>
      </c>
      <c r="C4" s="117">
        <v>30339.316005851651</v>
      </c>
      <c r="D4" s="117">
        <v>26.33016937304626</v>
      </c>
      <c r="E4" s="117">
        <v>1</v>
      </c>
      <c r="F4" s="117">
        <v>0</v>
      </c>
      <c r="G4" s="117">
        <v>14</v>
      </c>
    </row>
    <row r="5" spans="1:7" x14ac:dyDescent="0.3">
      <c r="A5" s="117" t="s">
        <v>66</v>
      </c>
      <c r="B5" s="117">
        <v>325.48936387931275</v>
      </c>
      <c r="C5" s="117">
        <v>30339.316005851651</v>
      </c>
      <c r="D5" s="117">
        <v>2.0554213528964169</v>
      </c>
      <c r="E5" s="117">
        <v>5</v>
      </c>
      <c r="F5" s="117">
        <v>0</v>
      </c>
      <c r="G5" s="117">
        <v>14</v>
      </c>
    </row>
    <row r="6" spans="1:7" x14ac:dyDescent="0.3">
      <c r="A6" s="117" t="s">
        <v>68</v>
      </c>
      <c r="B6" s="117">
        <v>346.09962545731003</v>
      </c>
      <c r="C6" s="117">
        <v>31089.677569476393</v>
      </c>
      <c r="D6" s="117">
        <v>22.665682930893695</v>
      </c>
      <c r="E6" s="117">
        <v>2</v>
      </c>
      <c r="F6" s="117">
        <v>750.36156362474139</v>
      </c>
      <c r="G6" s="117">
        <v>4</v>
      </c>
    </row>
    <row r="7" spans="1:7" x14ac:dyDescent="0.3">
      <c r="A7" s="117" t="s">
        <v>70</v>
      </c>
      <c r="B7" s="117">
        <v>324.19477426557194</v>
      </c>
      <c r="C7" s="117">
        <v>30352.476156259243</v>
      </c>
      <c r="D7" s="117">
        <v>0.76083173915560565</v>
      </c>
      <c r="E7" s="117">
        <v>8</v>
      </c>
      <c r="F7" s="117">
        <v>13.160150407591573</v>
      </c>
      <c r="G7" s="117">
        <v>9</v>
      </c>
    </row>
    <row r="8" spans="1:7" x14ac:dyDescent="0.3">
      <c r="A8" s="117" t="s">
        <v>72</v>
      </c>
      <c r="B8" s="117">
        <v>324.45011502305908</v>
      </c>
      <c r="C8" s="117">
        <v>30349.013117717401</v>
      </c>
      <c r="D8" s="117">
        <v>1.0161724966427528</v>
      </c>
      <c r="E8" s="117">
        <v>6</v>
      </c>
      <c r="F8" s="117">
        <v>9.6971118657493207</v>
      </c>
      <c r="G8" s="117">
        <v>10</v>
      </c>
    </row>
    <row r="9" spans="1:7" x14ac:dyDescent="0.3">
      <c r="A9" s="117" t="s">
        <v>74</v>
      </c>
      <c r="B9" s="117">
        <v>338.251644886017</v>
      </c>
      <c r="C9" s="117">
        <v>30396.0422345761</v>
      </c>
      <c r="D9" s="117">
        <v>14.817702359600673</v>
      </c>
      <c r="E9" s="117">
        <v>4</v>
      </c>
      <c r="F9" s="117">
        <v>56.726228724448447</v>
      </c>
      <c r="G9" s="117">
        <v>8</v>
      </c>
    </row>
    <row r="10" spans="1:7" x14ac:dyDescent="0.3">
      <c r="A10" s="117" t="s">
        <v>78</v>
      </c>
      <c r="B10" s="117">
        <v>324.29678532370588</v>
      </c>
      <c r="C10" s="117">
        <v>30345.567260223557</v>
      </c>
      <c r="D10" s="117">
        <v>0.86284279728954516</v>
      </c>
      <c r="E10" s="117">
        <v>7</v>
      </c>
      <c r="F10" s="117">
        <v>6.2512543719058158</v>
      </c>
      <c r="G10" s="117">
        <v>11</v>
      </c>
    </row>
    <row r="11" spans="1:7" x14ac:dyDescent="0.3">
      <c r="A11" s="117" t="s">
        <v>80</v>
      </c>
      <c r="B11" s="117">
        <v>323.43394252641633</v>
      </c>
      <c r="C11" s="117">
        <v>30752.869259659717</v>
      </c>
      <c r="D11" s="117">
        <v>0</v>
      </c>
      <c r="E11" s="117">
        <v>10</v>
      </c>
      <c r="F11" s="117">
        <v>413.55325380806607</v>
      </c>
      <c r="G11" s="117">
        <v>5</v>
      </c>
    </row>
    <row r="12" spans="1:7" x14ac:dyDescent="0.3">
      <c r="A12" s="117" t="s">
        <v>82</v>
      </c>
      <c r="B12" s="117">
        <v>323.43394252641633</v>
      </c>
      <c r="C12" s="117">
        <v>31105.853690321084</v>
      </c>
      <c r="D12" s="117">
        <v>0</v>
      </c>
      <c r="E12" s="117">
        <v>10</v>
      </c>
      <c r="F12" s="117">
        <v>766.53768446943286</v>
      </c>
      <c r="G12" s="117">
        <v>3</v>
      </c>
    </row>
    <row r="13" spans="1:7" x14ac:dyDescent="0.3">
      <c r="A13" s="117" t="s">
        <v>84</v>
      </c>
      <c r="B13" s="117">
        <v>323.43394252641633</v>
      </c>
      <c r="C13" s="117">
        <v>30420.721286999447</v>
      </c>
      <c r="D13" s="117">
        <v>0</v>
      </c>
      <c r="E13" s="117">
        <v>10</v>
      </c>
      <c r="F13" s="117">
        <v>81.405281147795904</v>
      </c>
      <c r="G13" s="117">
        <v>6</v>
      </c>
    </row>
    <row r="14" spans="1:7" x14ac:dyDescent="0.3">
      <c r="A14" s="117" t="s">
        <v>86</v>
      </c>
      <c r="B14" s="117">
        <v>323.43394252641633</v>
      </c>
      <c r="C14" s="117">
        <v>31116.665915973939</v>
      </c>
      <c r="D14" s="117">
        <v>0</v>
      </c>
      <c r="E14" s="117">
        <v>10</v>
      </c>
      <c r="F14" s="117">
        <v>777.34991012228784</v>
      </c>
      <c r="G14" s="117">
        <v>2</v>
      </c>
    </row>
    <row r="15" spans="1:7" x14ac:dyDescent="0.3">
      <c r="A15" s="117" t="s">
        <v>88</v>
      </c>
      <c r="B15" s="117">
        <v>323.43394252641633</v>
      </c>
      <c r="C15" s="117">
        <v>30340.041323399157</v>
      </c>
      <c r="D15" s="117">
        <v>0</v>
      </c>
      <c r="E15" s="117">
        <v>10</v>
      </c>
      <c r="F15" s="117">
        <v>0.72531754750525579</v>
      </c>
      <c r="G15" s="117">
        <v>12</v>
      </c>
    </row>
    <row r="16" spans="1:7" x14ac:dyDescent="0.3">
      <c r="A16" s="117" t="s">
        <v>92</v>
      </c>
      <c r="B16" s="117">
        <v>323.43394252641633</v>
      </c>
      <c r="C16" s="117">
        <v>33400.243293713618</v>
      </c>
      <c r="D16" s="117">
        <v>0</v>
      </c>
      <c r="E16" s="117">
        <v>10</v>
      </c>
      <c r="F16" s="117">
        <v>3060.9272878619668</v>
      </c>
      <c r="G16" s="1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Data</vt:lpstr>
      <vt:lpstr>Risk Id</vt:lpstr>
      <vt:lpstr>Prioritization</vt:lpstr>
      <vt:lpstr>Risk Matrix</vt:lpstr>
      <vt:lpstr>Dur_Cost_Percentil</vt:lpstr>
      <vt:lpstr>Risk ranking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facebes1972@hotmail.com</dc:creator>
  <cp:lastModifiedBy>FERNANDO ACEBES SENOVILLA</cp:lastModifiedBy>
  <dcterms:created xsi:type="dcterms:W3CDTF">2019-09-07T15:08:15Z</dcterms:created>
  <dcterms:modified xsi:type="dcterms:W3CDTF">2024-05-13T10:13:17Z</dcterms:modified>
</cp:coreProperties>
</file>