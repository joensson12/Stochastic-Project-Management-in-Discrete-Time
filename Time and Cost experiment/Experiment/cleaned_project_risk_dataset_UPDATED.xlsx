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cb9c3f838fb654/Skrivbord/SPM/Time and Cost experiment/Experiment/"/>
    </mc:Choice>
  </mc:AlternateContent>
  <xr:revisionPtr revIDLastSave="16" documentId="8_{C4C48824-A98B-4908-B6F8-949FE8E006B8}" xr6:coauthVersionLast="47" xr6:coauthVersionMax="47" xr10:uidLastSave="{39F31751-CD65-4618-96D4-8747D047A210}"/>
  <bookViews>
    <workbookView xWindow="-108" yWindow="-108" windowWidth="23256" windowHeight="12456" xr2:uid="{00000000-000D-0000-FFFF-FFFF00000000}"/>
  </bookViews>
  <sheets>
    <sheet name="Activities" sheetId="1" r:id="rId1"/>
    <sheet name="Risks" sheetId="2" r:id="rId2"/>
  </sheets>
  <definedNames>
    <definedName name="_xlnm._FilterDatabase" localSheetId="0" hidden="1">Activities!$A$1:$V$33</definedName>
    <definedName name="_xlnm._FilterDatabase" localSheetId="1" hidden="1">Risks!$A$1:$AC$16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2" i="1"/>
</calcChain>
</file>

<file path=xl/sharedStrings.xml><?xml version="1.0" encoding="utf-8"?>
<sst xmlns="http://schemas.openxmlformats.org/spreadsheetml/2006/main" count="531" uniqueCount="191">
  <si>
    <t>Activity_ID</t>
  </si>
  <si>
    <t>Activity_Number</t>
  </si>
  <si>
    <t>Phase</t>
  </si>
  <si>
    <t>Predecessors</t>
  </si>
  <si>
    <t>Schedule_Risk_IDs</t>
  </si>
  <si>
    <t>Cost_Risk_IDs</t>
  </si>
  <si>
    <t>All_Connected_Risk_IDs</t>
  </si>
  <si>
    <t>Connected_Risk_Names</t>
  </si>
  <si>
    <t>Duration_Distribution</t>
  </si>
  <si>
    <t>Duration_Min_Days</t>
  </si>
  <si>
    <t>Duration_Most_Likely_Days</t>
  </si>
  <si>
    <t>Duration_Max_Days</t>
  </si>
  <si>
    <t>Source_Excel_Row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</si>
  <si>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</si>
  <si>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</si>
  <si>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</si>
  <si>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</si>
  <si>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</si>
  <si>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</si>
  <si>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</si>
  <si>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</si>
  <si>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</si>
  <si>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</si>
  <si>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</si>
  <si>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</si>
  <si>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</si>
  <si>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</si>
  <si>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</si>
  <si>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</si>
  <si>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</si>
  <si>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</si>
  <si>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</si>
  <si>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</si>
  <si>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</si>
  <si>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</si>
  <si>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</si>
  <si>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</si>
  <si>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</si>
  <si>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</si>
  <si>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</si>
  <si>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</si>
  <si>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</si>
  <si>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</si>
  <si>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</si>
  <si>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</si>
  <si>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Engineering</t>
  </si>
  <si>
    <t>Procurement</t>
  </si>
  <si>
    <t>Construction</t>
  </si>
  <si>
    <t>Ai</t>
  </si>
  <si>
    <t>A2, A3</t>
  </si>
  <si>
    <t>A11, A13</t>
  </si>
  <si>
    <t>A3, A4</t>
  </si>
  <si>
    <t>A21, A25</t>
  </si>
  <si>
    <t>A9, A22, A23</t>
  </si>
  <si>
    <t>A10, A24</t>
  </si>
  <si>
    <t>A12, A20</t>
  </si>
  <si>
    <t>A15, A16, A29</t>
  </si>
  <si>
    <t>A26, A30</t>
  </si>
  <si>
    <t>A27, A28, A31</t>
  </si>
  <si>
    <t>R2</t>
  </si>
  <si>
    <t>R1</t>
  </si>
  <si>
    <t>R4</t>
  </si>
  <si>
    <t>R3</t>
  </si>
  <si>
    <t>R5</t>
  </si>
  <si>
    <t>R9</t>
  </si>
  <si>
    <t>R6</t>
  </si>
  <si>
    <t>R8</t>
  </si>
  <si>
    <t>R7</t>
  </si>
  <si>
    <t>R10</t>
  </si>
  <si>
    <t>R11</t>
  </si>
  <si>
    <t>R12</t>
  </si>
  <si>
    <t>R13</t>
  </si>
  <si>
    <t>R14</t>
  </si>
  <si>
    <t>R15</t>
  </si>
  <si>
    <t>R2, R10</t>
  </si>
  <si>
    <t>R3, R12</t>
  </si>
  <si>
    <t>R6, R13</t>
  </si>
  <si>
    <t>R7, R14</t>
  </si>
  <si>
    <t>R2: Change of requirements in the project; R10: Change of requirements in the project</t>
  </si>
  <si>
    <t>R1: Technical complexity of the engineering project</t>
  </si>
  <si>
    <t>R11: Inadequate supplier management</t>
  </si>
  <si>
    <t>R4: Inaccurate internal needs analysis</t>
  </si>
  <si>
    <t>R3: Supply chain disruptions; R12: Supply chain disruptions</t>
  </si>
  <si>
    <t>R5: Health and safety hazards</t>
  </si>
  <si>
    <t>R9: Availability of construction materials on time</t>
  </si>
  <si>
    <t>R6: Adverse weather conditions; R13: Adverse weather conditions</t>
  </si>
  <si>
    <t>R8: Availability of skilled labour</t>
  </si>
  <si>
    <t>R7: Difficulties in obtaining permits and licences; R14: Difficulties in obtaining permits and licences</t>
  </si>
  <si>
    <t>R15: Changes in the price of raw materials</t>
  </si>
  <si>
    <t>Risk_ID</t>
  </si>
  <si>
    <t>Risk_Type</t>
  </si>
  <si>
    <t>Source_Risk_Name</t>
  </si>
  <si>
    <t>Affected_Activity_ID</t>
  </si>
  <si>
    <t>Affected_Activity_Number</t>
  </si>
  <si>
    <t>Probability_Level</t>
  </si>
  <si>
    <t>Probability_Level_Interval</t>
  </si>
  <si>
    <t>Probability_Distribution</t>
  </si>
  <si>
    <t>Probability_Model_Code</t>
  </si>
  <si>
    <t>Probability_Min</t>
  </si>
  <si>
    <t>Probability_Max</t>
  </si>
  <si>
    <t>Severity_Level</t>
  </si>
  <si>
    <t>Severity_Level_Note</t>
  </si>
  <si>
    <t>Severity_Interval_Published</t>
  </si>
  <si>
    <t>Severity_Min_Published</t>
  </si>
  <si>
    <t>Severity_Max_Published</t>
  </si>
  <si>
    <t>Impact_Distribution</t>
  </si>
  <si>
    <t>Impact_Model_Code</t>
  </si>
  <si>
    <t>Impact_Min</t>
  </si>
  <si>
    <t>Impact_Max</t>
  </si>
  <si>
    <t>Impact_Units</t>
  </si>
  <si>
    <t>Raw_Data_Activity_Value</t>
  </si>
  <si>
    <t>Raw_Target_Type</t>
  </si>
  <si>
    <t>Explanation</t>
  </si>
  <si>
    <t>Source_Cost_Risk_Code_Raw</t>
  </si>
  <si>
    <t>Source_Schedule_Risk_Code_Raw</t>
  </si>
  <si>
    <t>Probability_Source_Row_Index</t>
  </si>
  <si>
    <t>Impact_Source_Row_Index</t>
  </si>
  <si>
    <t>Schedule</t>
  </si>
  <si>
    <t>Cost</t>
  </si>
  <si>
    <t>Technical complexity of the engineering project</t>
  </si>
  <si>
    <t>Change of requirements in the project</t>
  </si>
  <si>
    <t>Supply chain disruptions</t>
  </si>
  <si>
    <t>Inaccurate internal needs analysis</t>
  </si>
  <si>
    <t>Health and safety hazards</t>
  </si>
  <si>
    <t>Adverse weather conditions</t>
  </si>
  <si>
    <t>Difficulties in obtaining permits and licences</t>
  </si>
  <si>
    <t>Availability of skilled labour</t>
  </si>
  <si>
    <t>Availability of construction materials on time</t>
  </si>
  <si>
    <t>Inadequate supplier management</t>
  </si>
  <si>
    <t>Changes in the price of raw materials</t>
  </si>
  <si>
    <t>6</t>
  </si>
  <si>
    <t>2</t>
  </si>
  <si>
    <t>13</t>
  </si>
  <si>
    <t>12</t>
  </si>
  <si>
    <t>20</t>
  </si>
  <si>
    <t>26</t>
  </si>
  <si>
    <t>30</t>
  </si>
  <si>
    <t>28</t>
  </si>
  <si>
    <t>23</t>
  </si>
  <si>
    <t>8</t>
  </si>
  <si>
    <t>31</t>
  </si>
  <si>
    <t>VL</t>
  </si>
  <si>
    <t>H</t>
  </si>
  <si>
    <t>L</t>
  </si>
  <si>
    <t>M</t>
  </si>
  <si>
    <t>0-0.03</t>
  </si>
  <si>
    <t>0.30-0.50</t>
  </si>
  <si>
    <t>0.03-0.10</t>
  </si>
  <si>
    <t>0.10-0.30</t>
  </si>
  <si>
    <t>B</t>
  </si>
  <si>
    <t>A</t>
  </si>
  <si>
    <t>Bajo / Low in original Spanish scale</t>
  </si>
  <si>
    <t>Medium</t>
  </si>
  <si>
    <t>Alto / High in original Spanish scale</t>
  </si>
  <si>
    <t>Low</t>
  </si>
  <si>
    <t>Very low</t>
  </si>
  <si>
    <t>High</t>
  </si>
  <si>
    <t>5-20</t>
  </si>
  <si>
    <t>20-50</t>
  </si>
  <si>
    <t>50-75</t>
  </si>
  <si>
    <t>100-750</t>
  </si>
  <si>
    <t>750-2500</t>
  </si>
  <si>
    <t>0-100</t>
  </si>
  <si>
    <t>2500-6000</t>
  </si>
  <si>
    <t>days</t>
  </si>
  <si>
    <t>x1000 monetary units</t>
  </si>
  <si>
    <t>t</t>
  </si>
  <si>
    <t>C</t>
  </si>
  <si>
    <t>Technical complexity in the engineering phase. Complexity in the drafting of the technical project. Complexity due to the novelty of the project to be executed.</t>
  </si>
  <si>
    <t>Changes proposed by the promoter</t>
  </si>
  <si>
    <t>Microchips; Suez Canal</t>
  </si>
  <si>
    <t>Waste (asbestos), seepage, soil type problems, …</t>
  </si>
  <si>
    <t>RC_1</t>
  </si>
  <si>
    <t>RC_2</t>
  </si>
  <si>
    <t>RC_3</t>
  </si>
  <si>
    <t>RC_4</t>
  </si>
  <si>
    <t>RC_5</t>
  </si>
  <si>
    <t>RC_6</t>
  </si>
  <si>
    <t>Binomial</t>
  </si>
  <si>
    <t>Lag</t>
  </si>
  <si>
    <t>Cost_Most_Likely_x1000</t>
  </si>
  <si>
    <t>Cost_Distribution</t>
  </si>
  <si>
    <t>PERT</t>
  </si>
  <si>
    <t>Variable_Cost_Max_Days_x1000</t>
  </si>
  <si>
    <t>Variable_Cost_Distribution</t>
  </si>
  <si>
    <t>Uniform</t>
  </si>
  <si>
    <t>DiscreteUniform</t>
  </si>
  <si>
    <t>Cost_Min_x1000</t>
  </si>
  <si>
    <t>Cost_Max_x1000</t>
  </si>
  <si>
    <t>Variable_Cost_Min_x1000</t>
  </si>
  <si>
    <t>Variable_Cost_per_x1000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</si>
</sst>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2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topLeftCell="N1" workbookViewId="0">
      <pane ySplit="1" topLeftCell="A14" activePane="bottomLeft" state="frozen"/>
      <selection pane="bottomLeft" activeCell="U26" sqref="U26"/>
    </sheetView>
  </sheetViews>
  <sheetFormatPr defaultRowHeight="14.4" x14ac:dyDescent="0.3"/>
  <cols>
    <col min="1" max="1" width="13.6640625" style="1" customWidth="1"/>
    <col min="2" max="2" width="17.6640625" style="1" customWidth="1"/>
    <col min="3" max="3" width="14.6640625" style="1" customWidth="1"/>
    <col min="4" max="4" width="15.6640625" style="1" customWidth="1"/>
    <col min="5" max="6" width="18.6640625" style="1" customWidth="1"/>
    <col min="7" max="7" width="24.6640625" style="1" customWidth="1"/>
    <col min="8" max="8" width="42.6640625" style="1" customWidth="1"/>
    <col min="9" max="9" width="23.6640625" style="1" customWidth="1"/>
    <col min="10" max="10" width="19.6640625" style="1" customWidth="1"/>
    <col min="11" max="11" width="27.6640625" style="1" customWidth="1"/>
    <col min="12" max="12" width="19.6640625" style="1" customWidth="1"/>
    <col min="13" max="13" width="11.6640625" style="1" customWidth="1"/>
    <col min="14" max="14" width="16.6640625" style="1" bestFit="1" customWidth="1"/>
    <col min="15" max="15" width="21.33203125" style="1" bestFit="1" customWidth="1"/>
    <col min="16" max="16" width="22.109375" style="1" bestFit="1" customWidth="1"/>
    <col min="17" max="17" width="22.109375" style="1" customWidth="1"/>
    <col min="18" max="18" width="16.6640625" style="1" bestFit="1" customWidth="1"/>
    <col min="19" max="19" width="23.21875" style="1" bestFit="1" customWidth="1"/>
    <col min="20" max="20" width="29.6640625" style="1" customWidth="1"/>
    <col min="21" max="21" width="29.77734375" style="1" bestFit="1" customWidth="1"/>
    <col min="22" max="22" width="18.6640625" style="1" customWidth="1"/>
  </cols>
  <sheetData>
    <row r="1" spans="1:22" ht="31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179</v>
      </c>
      <c r="N1" s="2" t="s">
        <v>181</v>
      </c>
      <c r="O1" s="2" t="s">
        <v>187</v>
      </c>
      <c r="P1" s="2" t="s">
        <v>180</v>
      </c>
      <c r="Q1" s="2" t="s">
        <v>188</v>
      </c>
      <c r="R1" s="2" t="s">
        <v>184</v>
      </c>
      <c r="S1" s="2" t="s">
        <v>189</v>
      </c>
      <c r="T1" s="2" t="s">
        <v>190</v>
      </c>
      <c r="U1" s="2" t="s">
        <v>183</v>
      </c>
      <c r="V1" s="2" t="s">
        <v>12</v>
      </c>
    </row>
    <row r="2" spans="1:22" x14ac:dyDescent="0.3">
      <c r="A2" s="1" t="s">
        <v>13</v>
      </c>
      <c r="B2" s="1">
        <v>1</v>
      </c>
      <c r="C2" s="1" t="s">
        <v>45</v>
      </c>
      <c r="D2" s="1" t="s">
        <v>48</v>
      </c>
      <c r="I2" s="1" t="s">
        <v>178</v>
      </c>
      <c r="J2" s="1">
        <v>10</v>
      </c>
      <c r="K2" s="1">
        <v>15</v>
      </c>
      <c r="L2" s="1">
        <v>20</v>
      </c>
      <c r="M2" s="1">
        <v>0</v>
      </c>
      <c r="N2" s="1" t="s">
        <v>182</v>
      </c>
      <c r="O2" s="1">
        <f>P2*0.75</f>
        <v>0</v>
      </c>
      <c r="P2" s="1">
        <v>0</v>
      </c>
      <c r="Q2" s="1">
        <f>P2*1.25</f>
        <v>0</v>
      </c>
      <c r="R2" s="1" t="s">
        <v>182</v>
      </c>
      <c r="S2" s="1">
        <f>T2*0.75</f>
        <v>0.75</v>
      </c>
      <c r="T2" s="1">
        <v>1</v>
      </c>
      <c r="U2" s="1">
        <f>T2*1.25</f>
        <v>1.25</v>
      </c>
      <c r="V2" s="1">
        <v>8</v>
      </c>
    </row>
    <row r="3" spans="1:22" ht="28.8" x14ac:dyDescent="0.3">
      <c r="A3" s="1" t="s">
        <v>14</v>
      </c>
      <c r="B3" s="1">
        <v>2</v>
      </c>
      <c r="C3" s="1" t="s">
        <v>45</v>
      </c>
      <c r="D3" s="1" t="s">
        <v>13</v>
      </c>
      <c r="E3" s="1" t="s">
        <v>59</v>
      </c>
      <c r="F3" s="1" t="s">
        <v>68</v>
      </c>
      <c r="G3" s="1" t="s">
        <v>74</v>
      </c>
      <c r="H3" s="1" t="s">
        <v>78</v>
      </c>
      <c r="I3" s="1" t="s">
        <v>178</v>
      </c>
      <c r="J3" s="1">
        <v>25</v>
      </c>
      <c r="K3" s="1">
        <v>30</v>
      </c>
      <c r="L3" s="1">
        <v>35</v>
      </c>
      <c r="M3" s="1">
        <v>0</v>
      </c>
      <c r="N3" s="1" t="s">
        <v>182</v>
      </c>
      <c r="O3" s="1">
        <f t="shared" ref="O3:O33" si="0">P3*0.75</f>
        <v>0</v>
      </c>
      <c r="P3" s="1">
        <v>0</v>
      </c>
      <c r="Q3" s="1">
        <f t="shared" ref="Q3:Q33" si="1">P3*1.25</f>
        <v>0</v>
      </c>
      <c r="R3" s="1" t="s">
        <v>182</v>
      </c>
      <c r="S3" s="1">
        <f t="shared" ref="S3:S33" si="2">T3*0.75</f>
        <v>1.875</v>
      </c>
      <c r="T3" s="1">
        <v>2.5</v>
      </c>
      <c r="U3" s="1">
        <f t="shared" ref="U3:U33" si="3">T3*1.25</f>
        <v>3.125</v>
      </c>
      <c r="V3" s="1">
        <v>9</v>
      </c>
    </row>
    <row r="4" spans="1:22" x14ac:dyDescent="0.3">
      <c r="A4" s="1" t="s">
        <v>15</v>
      </c>
      <c r="B4" s="1">
        <v>3</v>
      </c>
      <c r="C4" s="1" t="s">
        <v>45</v>
      </c>
      <c r="D4" s="1" t="s">
        <v>13</v>
      </c>
      <c r="I4" s="1" t="s">
        <v>178</v>
      </c>
      <c r="J4" s="1">
        <v>20</v>
      </c>
      <c r="K4" s="1">
        <v>30</v>
      </c>
      <c r="L4" s="1">
        <v>40</v>
      </c>
      <c r="M4" s="1">
        <v>0</v>
      </c>
      <c r="N4" s="1" t="s">
        <v>182</v>
      </c>
      <c r="O4" s="1">
        <f t="shared" si="0"/>
        <v>0</v>
      </c>
      <c r="P4" s="1">
        <v>0</v>
      </c>
      <c r="Q4" s="1">
        <f t="shared" si="1"/>
        <v>0</v>
      </c>
      <c r="R4" s="1" t="s">
        <v>182</v>
      </c>
      <c r="S4" s="1">
        <f t="shared" si="2"/>
        <v>3.375</v>
      </c>
      <c r="T4" s="1">
        <v>4.5</v>
      </c>
      <c r="U4" s="1">
        <f t="shared" si="3"/>
        <v>5.625</v>
      </c>
      <c r="V4" s="1">
        <v>10</v>
      </c>
    </row>
    <row r="5" spans="1:22" x14ac:dyDescent="0.3">
      <c r="A5" s="1" t="s">
        <v>16</v>
      </c>
      <c r="B5" s="1">
        <v>4</v>
      </c>
      <c r="C5" s="1" t="s">
        <v>45</v>
      </c>
      <c r="D5" s="1" t="s">
        <v>49</v>
      </c>
      <c r="I5" s="1" t="s">
        <v>178</v>
      </c>
      <c r="J5" s="1">
        <v>45</v>
      </c>
      <c r="K5" s="1">
        <v>55</v>
      </c>
      <c r="L5" s="1">
        <v>65</v>
      </c>
      <c r="M5" s="1">
        <v>0</v>
      </c>
      <c r="N5" s="1" t="s">
        <v>182</v>
      </c>
      <c r="O5" s="1">
        <f t="shared" si="0"/>
        <v>0</v>
      </c>
      <c r="P5" s="1">
        <v>0</v>
      </c>
      <c r="Q5" s="1">
        <f t="shared" si="1"/>
        <v>0</v>
      </c>
      <c r="R5" s="1" t="s">
        <v>182</v>
      </c>
      <c r="S5" s="1">
        <f t="shared" si="2"/>
        <v>3.375</v>
      </c>
      <c r="T5" s="1">
        <v>4.5</v>
      </c>
      <c r="U5" s="1">
        <f t="shared" si="3"/>
        <v>5.625</v>
      </c>
      <c r="V5" s="1">
        <v>11</v>
      </c>
    </row>
    <row r="6" spans="1:22" x14ac:dyDescent="0.3">
      <c r="A6" s="1" t="s">
        <v>17</v>
      </c>
      <c r="B6" s="1">
        <v>5</v>
      </c>
      <c r="C6" s="1" t="s">
        <v>45</v>
      </c>
      <c r="D6" s="1" t="s">
        <v>14</v>
      </c>
      <c r="I6" s="1" t="s">
        <v>178</v>
      </c>
      <c r="J6" s="1">
        <v>60</v>
      </c>
      <c r="K6" s="1">
        <v>70</v>
      </c>
      <c r="L6" s="1">
        <v>80</v>
      </c>
      <c r="M6" s="1">
        <v>0</v>
      </c>
      <c r="N6" s="1" t="s">
        <v>182</v>
      </c>
      <c r="O6" s="1">
        <f t="shared" si="0"/>
        <v>0</v>
      </c>
      <c r="P6" s="1">
        <v>0</v>
      </c>
      <c r="Q6" s="1">
        <f t="shared" si="1"/>
        <v>0</v>
      </c>
      <c r="R6" s="1" t="s">
        <v>182</v>
      </c>
      <c r="S6" s="1">
        <f t="shared" si="2"/>
        <v>5.625</v>
      </c>
      <c r="T6" s="1">
        <v>7.5</v>
      </c>
      <c r="U6" s="1">
        <f t="shared" si="3"/>
        <v>9.375</v>
      </c>
      <c r="V6" s="1">
        <v>12</v>
      </c>
    </row>
    <row r="7" spans="1:22" ht="28.8" x14ac:dyDescent="0.3">
      <c r="A7" s="1" t="s">
        <v>18</v>
      </c>
      <c r="B7" s="1">
        <v>6</v>
      </c>
      <c r="C7" s="1" t="s">
        <v>45</v>
      </c>
      <c r="D7" s="1" t="s">
        <v>14</v>
      </c>
      <c r="E7" s="1" t="s">
        <v>60</v>
      </c>
      <c r="G7" s="1" t="s">
        <v>60</v>
      </c>
      <c r="H7" s="1" t="s">
        <v>79</v>
      </c>
      <c r="I7" s="1" t="s">
        <v>178</v>
      </c>
      <c r="J7" s="1">
        <v>80</v>
      </c>
      <c r="K7" s="1">
        <v>90</v>
      </c>
      <c r="L7" s="1">
        <v>100</v>
      </c>
      <c r="M7" s="1">
        <v>0</v>
      </c>
      <c r="N7" s="1" t="s">
        <v>182</v>
      </c>
      <c r="O7" s="1">
        <f t="shared" si="0"/>
        <v>0</v>
      </c>
      <c r="P7" s="1">
        <v>0</v>
      </c>
      <c r="Q7" s="1">
        <f t="shared" si="1"/>
        <v>0</v>
      </c>
      <c r="R7" s="1" t="s">
        <v>182</v>
      </c>
      <c r="S7" s="1">
        <f t="shared" si="2"/>
        <v>2.625</v>
      </c>
      <c r="T7" s="1">
        <v>3.5</v>
      </c>
      <c r="U7" s="1">
        <f t="shared" si="3"/>
        <v>4.375</v>
      </c>
      <c r="V7" s="1">
        <v>13</v>
      </c>
    </row>
    <row r="8" spans="1:22" x14ac:dyDescent="0.3">
      <c r="A8" s="1" t="s">
        <v>19</v>
      </c>
      <c r="B8" s="1">
        <v>7</v>
      </c>
      <c r="C8" s="1" t="s">
        <v>45</v>
      </c>
      <c r="D8" s="1" t="s">
        <v>13</v>
      </c>
      <c r="I8" s="1" t="s">
        <v>178</v>
      </c>
      <c r="J8" s="1">
        <v>50</v>
      </c>
      <c r="K8" s="1">
        <v>70</v>
      </c>
      <c r="L8" s="1">
        <v>90</v>
      </c>
      <c r="M8" s="1">
        <v>0</v>
      </c>
      <c r="N8" s="1" t="s">
        <v>182</v>
      </c>
      <c r="O8" s="1">
        <f t="shared" si="0"/>
        <v>0</v>
      </c>
      <c r="P8" s="1">
        <v>0</v>
      </c>
      <c r="Q8" s="1">
        <f t="shared" si="1"/>
        <v>0</v>
      </c>
      <c r="R8" s="1" t="s">
        <v>182</v>
      </c>
      <c r="S8" s="1">
        <f t="shared" si="2"/>
        <v>7.5</v>
      </c>
      <c r="T8" s="1">
        <v>10</v>
      </c>
      <c r="U8" s="1">
        <f t="shared" si="3"/>
        <v>12.5</v>
      </c>
      <c r="V8" s="1">
        <v>14</v>
      </c>
    </row>
    <row r="9" spans="1:22" x14ac:dyDescent="0.3">
      <c r="A9" s="1" t="s">
        <v>20</v>
      </c>
      <c r="B9" s="1">
        <v>8</v>
      </c>
      <c r="C9" s="1" t="s">
        <v>46</v>
      </c>
      <c r="D9" s="1" t="s">
        <v>17</v>
      </c>
      <c r="F9" s="1" t="s">
        <v>69</v>
      </c>
      <c r="G9" s="1" t="s">
        <v>69</v>
      </c>
      <c r="H9" s="1" t="s">
        <v>80</v>
      </c>
      <c r="I9" s="1" t="s">
        <v>178</v>
      </c>
      <c r="J9" s="1">
        <v>20</v>
      </c>
      <c r="K9" s="1">
        <v>25</v>
      </c>
      <c r="L9" s="1">
        <v>30</v>
      </c>
      <c r="M9" s="1">
        <v>0</v>
      </c>
      <c r="N9" s="1" t="s">
        <v>182</v>
      </c>
      <c r="O9" s="1">
        <f t="shared" si="0"/>
        <v>487.875</v>
      </c>
      <c r="P9" s="1">
        <v>650.5</v>
      </c>
      <c r="Q9" s="1">
        <f t="shared" si="1"/>
        <v>813.125</v>
      </c>
      <c r="R9" s="1" t="s">
        <v>182</v>
      </c>
      <c r="S9" s="1">
        <f t="shared" si="2"/>
        <v>0</v>
      </c>
      <c r="T9" s="1">
        <v>0</v>
      </c>
      <c r="U9" s="1">
        <f t="shared" si="3"/>
        <v>0</v>
      </c>
      <c r="V9" s="1">
        <v>15</v>
      </c>
    </row>
    <row r="10" spans="1:22" x14ac:dyDescent="0.3">
      <c r="A10" s="1" t="s">
        <v>21</v>
      </c>
      <c r="B10" s="1">
        <v>9</v>
      </c>
      <c r="C10" s="1" t="s">
        <v>46</v>
      </c>
      <c r="D10" s="1" t="s">
        <v>17</v>
      </c>
      <c r="I10" s="1" t="s">
        <v>178</v>
      </c>
      <c r="J10" s="1">
        <v>70</v>
      </c>
      <c r="K10" s="1">
        <v>85</v>
      </c>
      <c r="L10" s="1">
        <v>100</v>
      </c>
      <c r="M10" s="1">
        <v>0</v>
      </c>
      <c r="N10" s="1" t="s">
        <v>182</v>
      </c>
      <c r="O10" s="1">
        <f t="shared" si="0"/>
        <v>3150</v>
      </c>
      <c r="P10" s="1">
        <v>4200</v>
      </c>
      <c r="Q10" s="1">
        <f t="shared" si="1"/>
        <v>5250</v>
      </c>
      <c r="R10" s="1" t="s">
        <v>182</v>
      </c>
      <c r="S10" s="1">
        <f t="shared" si="2"/>
        <v>0</v>
      </c>
      <c r="T10" s="1">
        <v>0</v>
      </c>
      <c r="U10" s="1">
        <f t="shared" si="3"/>
        <v>0</v>
      </c>
      <c r="V10" s="1">
        <v>16</v>
      </c>
    </row>
    <row r="11" spans="1:22" x14ac:dyDescent="0.3">
      <c r="A11" s="1" t="s">
        <v>22</v>
      </c>
      <c r="B11" s="1">
        <v>10</v>
      </c>
      <c r="C11" s="1" t="s">
        <v>46</v>
      </c>
      <c r="D11" s="1" t="s">
        <v>18</v>
      </c>
      <c r="I11" s="1" t="s">
        <v>178</v>
      </c>
      <c r="J11" s="1">
        <v>70</v>
      </c>
      <c r="K11" s="1">
        <v>85</v>
      </c>
      <c r="L11" s="1">
        <v>100</v>
      </c>
      <c r="M11" s="1">
        <v>0</v>
      </c>
      <c r="N11" s="1" t="s">
        <v>182</v>
      </c>
      <c r="O11" s="1">
        <f t="shared" si="0"/>
        <v>2756.25</v>
      </c>
      <c r="P11" s="1">
        <v>3675</v>
      </c>
      <c r="Q11" s="1">
        <f t="shared" si="1"/>
        <v>4593.75</v>
      </c>
      <c r="R11" s="1" t="s">
        <v>182</v>
      </c>
      <c r="S11" s="1">
        <f t="shared" si="2"/>
        <v>0</v>
      </c>
      <c r="T11" s="1">
        <v>0</v>
      </c>
      <c r="U11" s="1">
        <f t="shared" si="3"/>
        <v>0</v>
      </c>
      <c r="V11" s="1">
        <v>17</v>
      </c>
    </row>
    <row r="12" spans="1:22" x14ac:dyDescent="0.3">
      <c r="A12" s="1" t="s">
        <v>23</v>
      </c>
      <c r="B12" s="1">
        <v>11</v>
      </c>
      <c r="C12" s="1" t="s">
        <v>46</v>
      </c>
      <c r="D12" s="1" t="s">
        <v>19</v>
      </c>
      <c r="I12" s="1" t="s">
        <v>178</v>
      </c>
      <c r="J12" s="1">
        <v>70</v>
      </c>
      <c r="K12" s="1">
        <v>80</v>
      </c>
      <c r="L12" s="1">
        <v>90</v>
      </c>
      <c r="M12" s="1">
        <v>0</v>
      </c>
      <c r="N12" s="1" t="s">
        <v>182</v>
      </c>
      <c r="O12" s="1">
        <f t="shared" si="0"/>
        <v>5250</v>
      </c>
      <c r="P12" s="1">
        <v>7000</v>
      </c>
      <c r="Q12" s="1">
        <f t="shared" si="1"/>
        <v>8750</v>
      </c>
      <c r="R12" s="1" t="s">
        <v>182</v>
      </c>
      <c r="S12" s="1">
        <f t="shared" si="2"/>
        <v>0</v>
      </c>
      <c r="T12" s="1">
        <v>0</v>
      </c>
      <c r="U12" s="1">
        <f t="shared" si="3"/>
        <v>0</v>
      </c>
      <c r="V12" s="1">
        <v>18</v>
      </c>
    </row>
    <row r="13" spans="1:22" x14ac:dyDescent="0.3">
      <c r="A13" s="1" t="s">
        <v>24</v>
      </c>
      <c r="B13" s="1">
        <v>12</v>
      </c>
      <c r="C13" s="1" t="s">
        <v>46</v>
      </c>
      <c r="D13" s="1" t="s">
        <v>19</v>
      </c>
      <c r="E13" s="1" t="s">
        <v>61</v>
      </c>
      <c r="G13" s="1" t="s">
        <v>61</v>
      </c>
      <c r="H13" s="1" t="s">
        <v>81</v>
      </c>
      <c r="I13" s="1" t="s">
        <v>178</v>
      </c>
      <c r="J13" s="1">
        <v>100</v>
      </c>
      <c r="K13" s="1">
        <v>110</v>
      </c>
      <c r="L13" s="1">
        <v>120</v>
      </c>
      <c r="M13" s="1">
        <v>0</v>
      </c>
      <c r="N13" s="1" t="s">
        <v>182</v>
      </c>
      <c r="O13" s="1">
        <f t="shared" si="0"/>
        <v>56.25</v>
      </c>
      <c r="P13" s="1">
        <v>75</v>
      </c>
      <c r="Q13" s="1">
        <f t="shared" si="1"/>
        <v>93.75</v>
      </c>
      <c r="R13" s="1" t="s">
        <v>182</v>
      </c>
      <c r="S13" s="1">
        <f t="shared" si="2"/>
        <v>0</v>
      </c>
      <c r="T13" s="1">
        <v>0</v>
      </c>
      <c r="U13" s="1">
        <f t="shared" si="3"/>
        <v>0</v>
      </c>
      <c r="V13" s="1">
        <v>19</v>
      </c>
    </row>
    <row r="14" spans="1:22" ht="28.8" x14ac:dyDescent="0.3">
      <c r="A14" s="1" t="s">
        <v>25</v>
      </c>
      <c r="B14" s="1">
        <v>13</v>
      </c>
      <c r="C14" s="1" t="s">
        <v>46</v>
      </c>
      <c r="D14" s="1" t="s">
        <v>19</v>
      </c>
      <c r="E14" s="1" t="s">
        <v>62</v>
      </c>
      <c r="F14" s="1" t="s">
        <v>70</v>
      </c>
      <c r="G14" s="1" t="s">
        <v>75</v>
      </c>
      <c r="H14" s="1" t="s">
        <v>82</v>
      </c>
      <c r="I14" s="1" t="s">
        <v>178</v>
      </c>
      <c r="J14" s="1">
        <v>70</v>
      </c>
      <c r="K14" s="1">
        <v>80</v>
      </c>
      <c r="L14" s="1">
        <v>90</v>
      </c>
      <c r="M14" s="1">
        <v>0</v>
      </c>
      <c r="N14" s="1" t="s">
        <v>182</v>
      </c>
      <c r="O14" s="1">
        <f t="shared" si="0"/>
        <v>375</v>
      </c>
      <c r="P14" s="1">
        <v>500</v>
      </c>
      <c r="Q14" s="1">
        <f t="shared" si="1"/>
        <v>625</v>
      </c>
      <c r="R14" s="1" t="s">
        <v>182</v>
      </c>
      <c r="S14" s="1">
        <f t="shared" si="2"/>
        <v>10.8</v>
      </c>
      <c r="T14" s="1">
        <v>14.4</v>
      </c>
      <c r="U14" s="1">
        <f t="shared" si="3"/>
        <v>18</v>
      </c>
      <c r="V14" s="1">
        <v>20</v>
      </c>
    </row>
    <row r="15" spans="1:22" x14ac:dyDescent="0.3">
      <c r="A15" s="1" t="s">
        <v>26</v>
      </c>
      <c r="B15" s="1">
        <v>14</v>
      </c>
      <c r="C15" s="1" t="s">
        <v>46</v>
      </c>
      <c r="D15" s="1" t="s">
        <v>50</v>
      </c>
      <c r="I15" s="1" t="s">
        <v>178</v>
      </c>
      <c r="J15" s="1">
        <v>25</v>
      </c>
      <c r="K15" s="1">
        <v>30</v>
      </c>
      <c r="L15" s="1">
        <v>35</v>
      </c>
      <c r="M15" s="1">
        <v>0</v>
      </c>
      <c r="N15" s="1" t="s">
        <v>182</v>
      </c>
      <c r="O15" s="1">
        <f t="shared" si="0"/>
        <v>75</v>
      </c>
      <c r="P15" s="1">
        <v>100</v>
      </c>
      <c r="Q15" s="1">
        <f t="shared" si="1"/>
        <v>125</v>
      </c>
      <c r="R15" s="1" t="s">
        <v>182</v>
      </c>
      <c r="S15" s="1">
        <f t="shared" si="2"/>
        <v>4.5</v>
      </c>
      <c r="T15" s="1">
        <v>6</v>
      </c>
      <c r="U15" s="1">
        <f t="shared" si="3"/>
        <v>7.5</v>
      </c>
      <c r="V15" s="1">
        <v>21</v>
      </c>
    </row>
    <row r="16" spans="1:22" x14ac:dyDescent="0.3">
      <c r="A16" s="1" t="s">
        <v>27</v>
      </c>
      <c r="B16" s="1">
        <v>15</v>
      </c>
      <c r="C16" s="1" t="s">
        <v>46</v>
      </c>
      <c r="D16" s="1" t="s">
        <v>26</v>
      </c>
      <c r="I16" s="1" t="s">
        <v>178</v>
      </c>
      <c r="J16" s="1">
        <v>12</v>
      </c>
      <c r="K16" s="1">
        <v>15</v>
      </c>
      <c r="L16" s="1">
        <v>18</v>
      </c>
      <c r="M16" s="1">
        <v>0</v>
      </c>
      <c r="N16" s="1" t="s">
        <v>182</v>
      </c>
      <c r="O16" s="1">
        <f t="shared" si="0"/>
        <v>0</v>
      </c>
      <c r="P16" s="1">
        <v>0</v>
      </c>
      <c r="Q16" s="1">
        <f t="shared" si="1"/>
        <v>0</v>
      </c>
      <c r="R16" s="1" t="s">
        <v>182</v>
      </c>
      <c r="S16" s="1">
        <f t="shared" si="2"/>
        <v>4.5</v>
      </c>
      <c r="T16" s="1">
        <v>6</v>
      </c>
      <c r="U16" s="1">
        <f t="shared" si="3"/>
        <v>7.5</v>
      </c>
      <c r="V16" s="1">
        <v>22</v>
      </c>
    </row>
    <row r="17" spans="1:22" x14ac:dyDescent="0.3">
      <c r="A17" s="1" t="s">
        <v>28</v>
      </c>
      <c r="B17" s="1">
        <v>16</v>
      </c>
      <c r="C17" s="1" t="s">
        <v>46</v>
      </c>
      <c r="D17" s="1" t="s">
        <v>13</v>
      </c>
      <c r="I17" s="1" t="s">
        <v>178</v>
      </c>
      <c r="J17" s="1">
        <v>170</v>
      </c>
      <c r="K17" s="1">
        <v>190</v>
      </c>
      <c r="L17" s="1">
        <v>210</v>
      </c>
      <c r="M17" s="1">
        <v>0</v>
      </c>
      <c r="N17" s="1" t="s">
        <v>182</v>
      </c>
      <c r="O17" s="1">
        <f t="shared" si="0"/>
        <v>225</v>
      </c>
      <c r="P17" s="1">
        <v>300</v>
      </c>
      <c r="Q17" s="1">
        <f t="shared" si="1"/>
        <v>375</v>
      </c>
      <c r="R17" s="1" t="s">
        <v>182</v>
      </c>
      <c r="S17" s="1">
        <f t="shared" si="2"/>
        <v>1.35</v>
      </c>
      <c r="T17" s="1">
        <v>1.8</v>
      </c>
      <c r="U17" s="1">
        <f t="shared" si="3"/>
        <v>2.25</v>
      </c>
      <c r="V17" s="1">
        <v>23</v>
      </c>
    </row>
    <row r="18" spans="1:22" x14ac:dyDescent="0.3">
      <c r="A18" s="1" t="s">
        <v>29</v>
      </c>
      <c r="B18" s="1">
        <v>17</v>
      </c>
      <c r="C18" s="1" t="s">
        <v>47</v>
      </c>
      <c r="D18" s="1" t="s">
        <v>14</v>
      </c>
      <c r="I18" s="1" t="s">
        <v>178</v>
      </c>
      <c r="J18" s="1">
        <v>45</v>
      </c>
      <c r="K18" s="1">
        <v>55</v>
      </c>
      <c r="L18" s="1">
        <v>65</v>
      </c>
      <c r="M18" s="1">
        <v>0</v>
      </c>
      <c r="N18" s="1" t="s">
        <v>182</v>
      </c>
      <c r="O18" s="1">
        <f t="shared" si="0"/>
        <v>225</v>
      </c>
      <c r="P18" s="1">
        <v>300</v>
      </c>
      <c r="Q18" s="1">
        <f t="shared" si="1"/>
        <v>375</v>
      </c>
      <c r="R18" s="1" t="s">
        <v>182</v>
      </c>
      <c r="S18" s="1">
        <f t="shared" si="2"/>
        <v>3.5999999999999996</v>
      </c>
      <c r="T18" s="1">
        <v>4.8</v>
      </c>
      <c r="U18" s="1">
        <f t="shared" si="3"/>
        <v>6</v>
      </c>
      <c r="V18" s="1">
        <v>24</v>
      </c>
    </row>
    <row r="19" spans="1:22" x14ac:dyDescent="0.3">
      <c r="A19" s="1" t="s">
        <v>30</v>
      </c>
      <c r="B19" s="1">
        <v>18</v>
      </c>
      <c r="C19" s="1" t="s">
        <v>47</v>
      </c>
      <c r="D19" s="1" t="s">
        <v>29</v>
      </c>
      <c r="I19" s="1" t="s">
        <v>178</v>
      </c>
      <c r="J19" s="1">
        <v>50</v>
      </c>
      <c r="K19" s="1">
        <v>60</v>
      </c>
      <c r="L19" s="1">
        <v>70</v>
      </c>
      <c r="M19" s="1">
        <v>0</v>
      </c>
      <c r="N19" s="1" t="s">
        <v>182</v>
      </c>
      <c r="O19" s="1">
        <f t="shared" si="0"/>
        <v>412.5</v>
      </c>
      <c r="P19" s="1">
        <v>550</v>
      </c>
      <c r="Q19" s="1">
        <f t="shared" si="1"/>
        <v>687.5</v>
      </c>
      <c r="R19" s="1" t="s">
        <v>182</v>
      </c>
      <c r="S19" s="1">
        <f t="shared" si="2"/>
        <v>4.0500000000000007</v>
      </c>
      <c r="T19" s="1">
        <v>5.4</v>
      </c>
      <c r="U19" s="1">
        <f t="shared" si="3"/>
        <v>6.75</v>
      </c>
      <c r="V19" s="1">
        <v>25</v>
      </c>
    </row>
    <row r="20" spans="1:22" x14ac:dyDescent="0.3">
      <c r="A20" s="1" t="s">
        <v>31</v>
      </c>
      <c r="B20" s="1">
        <v>19</v>
      </c>
      <c r="C20" s="1" t="s">
        <v>47</v>
      </c>
      <c r="D20" s="1" t="s">
        <v>15</v>
      </c>
      <c r="I20" s="1" t="s">
        <v>178</v>
      </c>
      <c r="J20" s="1">
        <v>45</v>
      </c>
      <c r="K20" s="1">
        <v>55</v>
      </c>
      <c r="L20" s="1">
        <v>65</v>
      </c>
      <c r="M20" s="1">
        <v>0</v>
      </c>
      <c r="N20" s="1" t="s">
        <v>182</v>
      </c>
      <c r="O20" s="1">
        <f t="shared" si="0"/>
        <v>431.25</v>
      </c>
      <c r="P20" s="1">
        <v>575</v>
      </c>
      <c r="Q20" s="1">
        <f t="shared" si="1"/>
        <v>718.75</v>
      </c>
      <c r="R20" s="1" t="s">
        <v>182</v>
      </c>
      <c r="S20" s="1">
        <f t="shared" si="2"/>
        <v>4.5</v>
      </c>
      <c r="T20" s="1">
        <v>6</v>
      </c>
      <c r="U20" s="1">
        <f t="shared" si="3"/>
        <v>7.5</v>
      </c>
      <c r="V20" s="1">
        <v>26</v>
      </c>
    </row>
    <row r="21" spans="1:22" x14ac:dyDescent="0.3">
      <c r="A21" s="1" t="s">
        <v>32</v>
      </c>
      <c r="B21" s="1">
        <v>20</v>
      </c>
      <c r="C21" s="1" t="s">
        <v>47</v>
      </c>
      <c r="D21" s="1" t="s">
        <v>51</v>
      </c>
      <c r="E21" s="1" t="s">
        <v>63</v>
      </c>
      <c r="G21" s="1" t="s">
        <v>63</v>
      </c>
      <c r="H21" s="1" t="s">
        <v>83</v>
      </c>
      <c r="I21" s="1" t="s">
        <v>178</v>
      </c>
      <c r="J21" s="1">
        <v>80</v>
      </c>
      <c r="K21" s="1">
        <v>95</v>
      </c>
      <c r="L21" s="1">
        <v>110</v>
      </c>
      <c r="M21" s="1">
        <v>0</v>
      </c>
      <c r="N21" s="1" t="s">
        <v>182</v>
      </c>
      <c r="O21" s="1">
        <f t="shared" si="0"/>
        <v>506.25</v>
      </c>
      <c r="P21" s="1">
        <v>675</v>
      </c>
      <c r="Q21" s="1">
        <f t="shared" si="1"/>
        <v>843.75</v>
      </c>
      <c r="R21" s="1" t="s">
        <v>182</v>
      </c>
      <c r="S21" s="1">
        <f t="shared" si="2"/>
        <v>4.0500000000000007</v>
      </c>
      <c r="T21" s="1">
        <v>5.4</v>
      </c>
      <c r="U21" s="1">
        <f t="shared" si="3"/>
        <v>6.75</v>
      </c>
      <c r="V21" s="1">
        <v>27</v>
      </c>
    </row>
    <row r="22" spans="1:22" x14ac:dyDescent="0.3">
      <c r="A22" s="1" t="s">
        <v>33</v>
      </c>
      <c r="B22" s="1">
        <v>21</v>
      </c>
      <c r="C22" s="1" t="s">
        <v>47</v>
      </c>
      <c r="D22" s="1" t="s">
        <v>30</v>
      </c>
      <c r="I22" s="1" t="s">
        <v>178</v>
      </c>
      <c r="J22" s="1">
        <v>20</v>
      </c>
      <c r="K22" s="1">
        <v>25</v>
      </c>
      <c r="L22" s="1">
        <v>30</v>
      </c>
      <c r="M22" s="1">
        <v>0</v>
      </c>
      <c r="N22" s="1" t="s">
        <v>182</v>
      </c>
      <c r="O22" s="1">
        <f t="shared" si="0"/>
        <v>206.25</v>
      </c>
      <c r="P22" s="1">
        <v>275</v>
      </c>
      <c r="Q22" s="1">
        <f t="shared" si="1"/>
        <v>343.75</v>
      </c>
      <c r="R22" s="1" t="s">
        <v>182</v>
      </c>
      <c r="S22" s="1">
        <f t="shared" si="2"/>
        <v>2.7</v>
      </c>
      <c r="T22" s="1">
        <v>3.6</v>
      </c>
      <c r="U22" s="1">
        <f t="shared" si="3"/>
        <v>4.5</v>
      </c>
      <c r="V22" s="1">
        <v>28</v>
      </c>
    </row>
    <row r="23" spans="1:22" x14ac:dyDescent="0.3">
      <c r="A23" s="1" t="s">
        <v>34</v>
      </c>
      <c r="B23" s="1">
        <v>22</v>
      </c>
      <c r="C23" s="1" t="s">
        <v>47</v>
      </c>
      <c r="D23" s="1" t="s">
        <v>33</v>
      </c>
      <c r="I23" s="1" t="s">
        <v>178</v>
      </c>
      <c r="J23" s="1">
        <v>18</v>
      </c>
      <c r="K23" s="1">
        <v>20</v>
      </c>
      <c r="L23" s="1">
        <v>22</v>
      </c>
      <c r="M23" s="1">
        <v>0</v>
      </c>
      <c r="N23" s="1" t="s">
        <v>182</v>
      </c>
      <c r="O23" s="1">
        <f t="shared" si="0"/>
        <v>206.25</v>
      </c>
      <c r="P23" s="1">
        <v>275</v>
      </c>
      <c r="Q23" s="1">
        <f t="shared" si="1"/>
        <v>343.75</v>
      </c>
      <c r="R23" s="1" t="s">
        <v>182</v>
      </c>
      <c r="S23" s="1">
        <f t="shared" si="2"/>
        <v>2.7</v>
      </c>
      <c r="T23" s="1">
        <v>3.6</v>
      </c>
      <c r="U23" s="1">
        <f t="shared" si="3"/>
        <v>4.5</v>
      </c>
      <c r="V23" s="1">
        <v>29</v>
      </c>
    </row>
    <row r="24" spans="1:22" x14ac:dyDescent="0.3">
      <c r="A24" s="1" t="s">
        <v>35</v>
      </c>
      <c r="B24" s="1">
        <v>23</v>
      </c>
      <c r="C24" s="1" t="s">
        <v>47</v>
      </c>
      <c r="D24" s="1" t="s">
        <v>30</v>
      </c>
      <c r="E24" s="1" t="s">
        <v>64</v>
      </c>
      <c r="G24" s="1" t="s">
        <v>64</v>
      </c>
      <c r="H24" s="1" t="s">
        <v>84</v>
      </c>
      <c r="I24" s="1" t="s">
        <v>178</v>
      </c>
      <c r="J24" s="1">
        <v>35</v>
      </c>
      <c r="K24" s="1">
        <v>40</v>
      </c>
      <c r="L24" s="1">
        <v>45</v>
      </c>
      <c r="M24" s="1">
        <v>0</v>
      </c>
      <c r="N24" s="1" t="s">
        <v>182</v>
      </c>
      <c r="O24" s="1">
        <f t="shared" si="0"/>
        <v>215.25</v>
      </c>
      <c r="P24" s="1">
        <v>287</v>
      </c>
      <c r="Q24" s="1">
        <f t="shared" si="1"/>
        <v>358.75</v>
      </c>
      <c r="R24" s="1" t="s">
        <v>182</v>
      </c>
      <c r="S24" s="1">
        <f t="shared" si="2"/>
        <v>3.5999999999999996</v>
      </c>
      <c r="T24" s="1">
        <v>4.8</v>
      </c>
      <c r="U24" s="1">
        <f t="shared" si="3"/>
        <v>6</v>
      </c>
      <c r="V24" s="1">
        <v>30</v>
      </c>
    </row>
    <row r="25" spans="1:22" x14ac:dyDescent="0.3">
      <c r="A25" s="1" t="s">
        <v>36</v>
      </c>
      <c r="B25" s="1">
        <v>24</v>
      </c>
      <c r="C25" s="1" t="s">
        <v>47</v>
      </c>
      <c r="D25" s="1" t="s">
        <v>33</v>
      </c>
      <c r="I25" s="1" t="s">
        <v>178</v>
      </c>
      <c r="J25" s="1">
        <v>30</v>
      </c>
      <c r="K25" s="1">
        <v>40</v>
      </c>
      <c r="L25" s="1">
        <v>50</v>
      </c>
      <c r="M25" s="1">
        <v>0</v>
      </c>
      <c r="N25" s="1" t="s">
        <v>182</v>
      </c>
      <c r="O25" s="1">
        <f t="shared" si="0"/>
        <v>206.25</v>
      </c>
      <c r="P25" s="1">
        <v>275</v>
      </c>
      <c r="Q25" s="1">
        <f t="shared" si="1"/>
        <v>343.75</v>
      </c>
      <c r="R25" s="1" t="s">
        <v>182</v>
      </c>
      <c r="S25" s="1">
        <f t="shared" si="2"/>
        <v>2.25</v>
      </c>
      <c r="T25" s="1">
        <v>3</v>
      </c>
      <c r="U25" s="1">
        <f t="shared" si="3"/>
        <v>3.75</v>
      </c>
      <c r="V25" s="1">
        <v>31</v>
      </c>
    </row>
    <row r="26" spans="1:22" x14ac:dyDescent="0.3">
      <c r="A26" s="1" t="s">
        <v>37</v>
      </c>
      <c r="B26" s="1">
        <v>25</v>
      </c>
      <c r="C26" s="1" t="s">
        <v>47</v>
      </c>
      <c r="D26" s="1" t="s">
        <v>20</v>
      </c>
      <c r="I26" s="1" t="s">
        <v>178</v>
      </c>
      <c r="J26" s="1">
        <v>35</v>
      </c>
      <c r="K26" s="1">
        <v>45</v>
      </c>
      <c r="L26" s="1">
        <v>55</v>
      </c>
      <c r="M26" s="1">
        <v>0</v>
      </c>
      <c r="N26" s="1" t="s">
        <v>182</v>
      </c>
      <c r="O26" s="1">
        <f t="shared" si="0"/>
        <v>56.25</v>
      </c>
      <c r="P26" s="1">
        <v>75</v>
      </c>
      <c r="Q26" s="1">
        <f t="shared" si="1"/>
        <v>93.75</v>
      </c>
      <c r="R26" s="1" t="s">
        <v>182</v>
      </c>
      <c r="S26" s="1">
        <f t="shared" si="2"/>
        <v>6</v>
      </c>
      <c r="T26" s="1">
        <v>8</v>
      </c>
      <c r="U26" s="1">
        <f t="shared" si="3"/>
        <v>10</v>
      </c>
      <c r="V26" s="1">
        <v>32</v>
      </c>
    </row>
    <row r="27" spans="1:22" ht="28.8" x14ac:dyDescent="0.3">
      <c r="A27" s="1" t="s">
        <v>38</v>
      </c>
      <c r="B27" s="1">
        <v>26</v>
      </c>
      <c r="C27" s="1" t="s">
        <v>47</v>
      </c>
      <c r="D27" s="1" t="s">
        <v>52</v>
      </c>
      <c r="E27" s="1" t="s">
        <v>65</v>
      </c>
      <c r="F27" s="1" t="s">
        <v>71</v>
      </c>
      <c r="G27" s="1" t="s">
        <v>76</v>
      </c>
      <c r="H27" s="1" t="s">
        <v>85</v>
      </c>
      <c r="I27" s="1" t="s">
        <v>178</v>
      </c>
      <c r="J27" s="1">
        <v>75</v>
      </c>
      <c r="K27" s="1">
        <v>85</v>
      </c>
      <c r="L27" s="1">
        <v>95</v>
      </c>
      <c r="M27" s="1">
        <v>0</v>
      </c>
      <c r="N27" s="1" t="s">
        <v>182</v>
      </c>
      <c r="O27" s="1">
        <f t="shared" si="0"/>
        <v>93.75</v>
      </c>
      <c r="P27" s="1">
        <v>125</v>
      </c>
      <c r="Q27" s="1">
        <f t="shared" si="1"/>
        <v>156.25</v>
      </c>
      <c r="R27" s="1" t="s">
        <v>182</v>
      </c>
      <c r="S27" s="1">
        <f t="shared" si="2"/>
        <v>7.1999999999999993</v>
      </c>
      <c r="T27" s="1">
        <v>9.6</v>
      </c>
      <c r="U27" s="1">
        <f t="shared" si="3"/>
        <v>12</v>
      </c>
      <c r="V27" s="1">
        <v>33</v>
      </c>
    </row>
    <row r="28" spans="1:22" x14ac:dyDescent="0.3">
      <c r="A28" s="1" t="s">
        <v>39</v>
      </c>
      <c r="B28" s="1">
        <v>27</v>
      </c>
      <c r="C28" s="1" t="s">
        <v>47</v>
      </c>
      <c r="D28" s="1" t="s">
        <v>53</v>
      </c>
      <c r="I28" s="1" t="s">
        <v>178</v>
      </c>
      <c r="J28" s="1">
        <v>75</v>
      </c>
      <c r="K28" s="1">
        <v>80</v>
      </c>
      <c r="L28" s="1">
        <v>85</v>
      </c>
      <c r="M28" s="1">
        <v>0</v>
      </c>
      <c r="N28" s="1" t="s">
        <v>182</v>
      </c>
      <c r="O28" s="1">
        <f t="shared" si="0"/>
        <v>75</v>
      </c>
      <c r="P28" s="1">
        <v>100</v>
      </c>
      <c r="Q28" s="1">
        <f t="shared" si="1"/>
        <v>125</v>
      </c>
      <c r="R28" s="1" t="s">
        <v>182</v>
      </c>
      <c r="S28" s="1">
        <f t="shared" si="2"/>
        <v>6</v>
      </c>
      <c r="T28" s="1">
        <v>8</v>
      </c>
      <c r="U28" s="1">
        <f t="shared" si="3"/>
        <v>10</v>
      </c>
      <c r="V28" s="1">
        <v>34</v>
      </c>
    </row>
    <row r="29" spans="1:22" x14ac:dyDescent="0.3">
      <c r="A29" s="1" t="s">
        <v>40</v>
      </c>
      <c r="B29" s="1">
        <v>28</v>
      </c>
      <c r="C29" s="1" t="s">
        <v>47</v>
      </c>
      <c r="D29" s="1" t="s">
        <v>54</v>
      </c>
      <c r="E29" s="1" t="s">
        <v>66</v>
      </c>
      <c r="G29" s="1" t="s">
        <v>66</v>
      </c>
      <c r="H29" s="1" t="s">
        <v>86</v>
      </c>
      <c r="I29" s="1" t="s">
        <v>178</v>
      </c>
      <c r="J29" s="1">
        <v>45</v>
      </c>
      <c r="K29" s="1">
        <v>60</v>
      </c>
      <c r="L29" s="1">
        <v>75</v>
      </c>
      <c r="M29" s="1">
        <v>0</v>
      </c>
      <c r="N29" s="1" t="s">
        <v>182</v>
      </c>
      <c r="O29" s="1">
        <f t="shared" si="0"/>
        <v>281.25</v>
      </c>
      <c r="P29" s="1">
        <v>375</v>
      </c>
      <c r="Q29" s="1">
        <f t="shared" si="1"/>
        <v>468.75</v>
      </c>
      <c r="R29" s="1" t="s">
        <v>182</v>
      </c>
      <c r="S29" s="1">
        <f t="shared" si="2"/>
        <v>18.75</v>
      </c>
      <c r="T29" s="1">
        <v>25</v>
      </c>
      <c r="U29" s="1">
        <f t="shared" si="3"/>
        <v>31.25</v>
      </c>
      <c r="V29" s="1">
        <v>35</v>
      </c>
    </row>
    <row r="30" spans="1:22" x14ac:dyDescent="0.3">
      <c r="A30" s="1" t="s">
        <v>41</v>
      </c>
      <c r="B30" s="1">
        <v>29</v>
      </c>
      <c r="C30" s="1" t="s">
        <v>47</v>
      </c>
      <c r="D30" s="1" t="s">
        <v>55</v>
      </c>
      <c r="I30" s="1" t="s">
        <v>178</v>
      </c>
      <c r="J30" s="1">
        <v>12</v>
      </c>
      <c r="K30" s="1">
        <v>15</v>
      </c>
      <c r="L30" s="1">
        <v>18</v>
      </c>
      <c r="M30" s="1">
        <v>0</v>
      </c>
      <c r="N30" s="1" t="s">
        <v>182</v>
      </c>
      <c r="O30" s="1">
        <f t="shared" si="0"/>
        <v>0</v>
      </c>
      <c r="P30" s="1">
        <v>0</v>
      </c>
      <c r="Q30" s="1">
        <f t="shared" si="1"/>
        <v>0</v>
      </c>
      <c r="R30" s="1" t="s">
        <v>182</v>
      </c>
      <c r="S30" s="1">
        <f t="shared" si="2"/>
        <v>1.5</v>
      </c>
      <c r="T30" s="1">
        <v>2</v>
      </c>
      <c r="U30" s="1">
        <f t="shared" si="3"/>
        <v>2.5</v>
      </c>
      <c r="V30" s="1">
        <v>36</v>
      </c>
    </row>
    <row r="31" spans="1:22" ht="28.8" x14ac:dyDescent="0.3">
      <c r="A31" s="1" t="s">
        <v>42</v>
      </c>
      <c r="B31" s="1">
        <v>30</v>
      </c>
      <c r="C31" s="1" t="s">
        <v>47</v>
      </c>
      <c r="D31" s="1" t="s">
        <v>56</v>
      </c>
      <c r="E31" s="1" t="s">
        <v>67</v>
      </c>
      <c r="F31" s="1" t="s">
        <v>72</v>
      </c>
      <c r="G31" s="1" t="s">
        <v>77</v>
      </c>
      <c r="H31" s="1" t="s">
        <v>87</v>
      </c>
      <c r="I31" s="1" t="s">
        <v>178</v>
      </c>
      <c r="J31" s="1">
        <v>50</v>
      </c>
      <c r="K31" s="1">
        <v>60</v>
      </c>
      <c r="L31" s="1">
        <v>70</v>
      </c>
      <c r="M31" s="1">
        <v>0</v>
      </c>
      <c r="N31" s="1" t="s">
        <v>182</v>
      </c>
      <c r="O31" s="1">
        <f t="shared" si="0"/>
        <v>56.25</v>
      </c>
      <c r="P31" s="1">
        <v>75</v>
      </c>
      <c r="Q31" s="1">
        <f t="shared" si="1"/>
        <v>93.75</v>
      </c>
      <c r="R31" s="1" t="s">
        <v>182</v>
      </c>
      <c r="S31" s="1">
        <f t="shared" si="2"/>
        <v>5.25</v>
      </c>
      <c r="T31" s="1">
        <v>7</v>
      </c>
      <c r="U31" s="1">
        <f t="shared" si="3"/>
        <v>8.75</v>
      </c>
      <c r="V31" s="1">
        <v>37</v>
      </c>
    </row>
    <row r="32" spans="1:22" x14ac:dyDescent="0.3">
      <c r="A32" s="1" t="s">
        <v>43</v>
      </c>
      <c r="B32" s="1">
        <v>31</v>
      </c>
      <c r="C32" s="1" t="s">
        <v>47</v>
      </c>
      <c r="D32" s="1" t="s">
        <v>57</v>
      </c>
      <c r="F32" s="1" t="s">
        <v>73</v>
      </c>
      <c r="G32" s="1" t="s">
        <v>73</v>
      </c>
      <c r="H32" s="1" t="s">
        <v>88</v>
      </c>
      <c r="I32" s="1" t="s">
        <v>178</v>
      </c>
      <c r="J32" s="1">
        <v>12</v>
      </c>
      <c r="K32" s="1">
        <v>15</v>
      </c>
      <c r="L32" s="1">
        <v>18</v>
      </c>
      <c r="M32" s="1">
        <v>0</v>
      </c>
      <c r="N32" s="1" t="s">
        <v>182</v>
      </c>
      <c r="O32" s="1">
        <f t="shared" si="0"/>
        <v>0</v>
      </c>
      <c r="P32" s="1">
        <v>0</v>
      </c>
      <c r="Q32" s="1">
        <f t="shared" si="1"/>
        <v>0</v>
      </c>
      <c r="R32" s="1" t="s">
        <v>182</v>
      </c>
      <c r="S32" s="1">
        <f t="shared" si="2"/>
        <v>2.25</v>
      </c>
      <c r="T32" s="1">
        <v>3</v>
      </c>
      <c r="U32" s="1">
        <f t="shared" si="3"/>
        <v>3.75</v>
      </c>
      <c r="V32" s="1">
        <v>38</v>
      </c>
    </row>
    <row r="33" spans="1:22" x14ac:dyDescent="0.3">
      <c r="A33" s="1" t="s">
        <v>44</v>
      </c>
      <c r="B33" s="1">
        <v>32</v>
      </c>
      <c r="C33" s="1" t="s">
        <v>47</v>
      </c>
      <c r="D33" s="1" t="s">
        <v>58</v>
      </c>
      <c r="I33" s="1" t="s">
        <v>178</v>
      </c>
      <c r="J33" s="1">
        <v>12</v>
      </c>
      <c r="K33" s="1">
        <v>15</v>
      </c>
      <c r="L33" s="1">
        <v>18</v>
      </c>
      <c r="M33" s="1">
        <v>0</v>
      </c>
      <c r="N33" s="1" t="s">
        <v>182</v>
      </c>
      <c r="O33" s="1">
        <f t="shared" si="0"/>
        <v>0</v>
      </c>
      <c r="P33" s="1">
        <v>0</v>
      </c>
      <c r="Q33" s="1">
        <f t="shared" si="1"/>
        <v>0</v>
      </c>
      <c r="R33" s="1" t="s">
        <v>182</v>
      </c>
      <c r="S33" s="1">
        <f t="shared" si="2"/>
        <v>2.25</v>
      </c>
      <c r="T33" s="1">
        <v>3</v>
      </c>
      <c r="U33" s="1">
        <f t="shared" si="3"/>
        <v>3.75</v>
      </c>
      <c r="V33" s="1">
        <v>39</v>
      </c>
    </row>
  </sheetData>
  <autoFilter ref="A1:V3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6"/>
  <sheetViews>
    <sheetView topLeftCell="O1" workbookViewId="0">
      <pane ySplit="1" topLeftCell="A2" activePane="bottomLeft" state="frozen"/>
      <selection pane="bottomLeft" activeCell="S21" sqref="S21"/>
    </sheetView>
  </sheetViews>
  <sheetFormatPr defaultRowHeight="14.4" x14ac:dyDescent="0.3"/>
  <cols>
    <col min="1" max="1" width="9.6640625" style="1" customWidth="1"/>
    <col min="2" max="2" width="11.6640625" style="1" customWidth="1"/>
    <col min="3" max="3" width="42.6640625" style="1" customWidth="1"/>
    <col min="4" max="4" width="14.6640625" style="1" customWidth="1"/>
    <col min="5" max="5" width="22.6640625" style="1" customWidth="1"/>
    <col min="6" max="6" width="26.6640625" style="1" customWidth="1"/>
    <col min="7" max="7" width="19.6640625" style="1" customWidth="1"/>
    <col min="8" max="8" width="28.6640625" style="1" customWidth="1"/>
    <col min="9" max="9" width="26.6640625" style="1" customWidth="1"/>
    <col min="10" max="10" width="24.6640625" style="1" customWidth="1"/>
    <col min="11" max="12" width="14.6640625" style="3" customWidth="1"/>
    <col min="13" max="13" width="16.6640625" style="1" customWidth="1"/>
    <col min="14" max="14" width="39.6640625" style="1" customWidth="1"/>
    <col min="15" max="15" width="29.6640625" style="1" customWidth="1"/>
    <col min="16" max="17" width="24.6640625" style="1" customWidth="1"/>
    <col min="18" max="18" width="21.6640625" style="1" customWidth="1"/>
    <col min="19" max="19" width="19.6640625" style="1" customWidth="1"/>
    <col min="20" max="21" width="14.6640625" style="3" customWidth="1"/>
    <col min="22" max="22" width="22.6640625" style="1" customWidth="1"/>
    <col min="23" max="23" width="25.6640625" style="1" customWidth="1"/>
    <col min="24" max="24" width="17.6640625" style="1" customWidth="1"/>
    <col min="25" max="25" width="42.6640625" style="1" customWidth="1"/>
    <col min="26" max="26" width="27.6640625" style="1" customWidth="1"/>
    <col min="27" max="27" width="31.6640625" style="1" customWidth="1"/>
    <col min="28" max="28" width="30.6640625" style="1" customWidth="1"/>
    <col min="29" max="29" width="25.6640625" style="1" customWidth="1"/>
  </cols>
  <sheetData>
    <row r="1" spans="1:29" ht="31.95" customHeight="1" x14ac:dyDescent="0.3">
      <c r="A1" s="2" t="s">
        <v>89</v>
      </c>
      <c r="B1" s="2" t="s">
        <v>90</v>
      </c>
      <c r="C1" s="2" t="s">
        <v>91</v>
      </c>
      <c r="D1" s="2" t="s">
        <v>2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</row>
    <row r="2" spans="1:29" ht="57.6" x14ac:dyDescent="0.3">
      <c r="A2" s="1" t="s">
        <v>60</v>
      </c>
      <c r="B2" s="1" t="s">
        <v>117</v>
      </c>
      <c r="C2" s="1" t="s">
        <v>119</v>
      </c>
      <c r="D2" s="1" t="s">
        <v>45</v>
      </c>
      <c r="E2" s="1" t="s">
        <v>18</v>
      </c>
      <c r="F2" s="1" t="s">
        <v>130</v>
      </c>
      <c r="G2" s="1" t="s">
        <v>141</v>
      </c>
      <c r="H2" s="1" t="s">
        <v>145</v>
      </c>
      <c r="I2" s="1" t="s">
        <v>185</v>
      </c>
      <c r="J2" s="1">
        <v>2</v>
      </c>
      <c r="K2" s="3">
        <v>0</v>
      </c>
      <c r="L2" s="3">
        <v>0.03</v>
      </c>
      <c r="M2" s="1" t="s">
        <v>149</v>
      </c>
      <c r="N2" s="1" t="s">
        <v>151</v>
      </c>
      <c r="O2" s="1" t="s">
        <v>157</v>
      </c>
      <c r="P2" s="1">
        <v>5</v>
      </c>
      <c r="Q2" s="1">
        <v>20</v>
      </c>
      <c r="R2" s="1" t="s">
        <v>186</v>
      </c>
      <c r="S2" s="1">
        <v>2</v>
      </c>
      <c r="T2" s="3">
        <v>5</v>
      </c>
      <c r="U2" s="3">
        <v>20</v>
      </c>
      <c r="V2" s="1" t="s">
        <v>164</v>
      </c>
      <c r="W2" s="1">
        <v>2</v>
      </c>
      <c r="X2" s="1" t="s">
        <v>166</v>
      </c>
      <c r="Y2" s="1" t="s">
        <v>168</v>
      </c>
      <c r="AA2" s="1" t="s">
        <v>60</v>
      </c>
      <c r="AB2" s="1">
        <v>42</v>
      </c>
      <c r="AC2" s="1">
        <v>43</v>
      </c>
    </row>
    <row r="3" spans="1:29" x14ac:dyDescent="0.3">
      <c r="A3" s="1" t="s">
        <v>59</v>
      </c>
      <c r="B3" s="1" t="s">
        <v>117</v>
      </c>
      <c r="C3" s="1" t="s">
        <v>120</v>
      </c>
      <c r="D3" s="1" t="s">
        <v>45</v>
      </c>
      <c r="E3" s="1" t="s">
        <v>14</v>
      </c>
      <c r="F3" s="1" t="s">
        <v>131</v>
      </c>
      <c r="G3" s="1" t="s">
        <v>142</v>
      </c>
      <c r="H3" s="1" t="s">
        <v>146</v>
      </c>
      <c r="I3" s="1" t="s">
        <v>185</v>
      </c>
      <c r="J3" s="1">
        <v>2</v>
      </c>
      <c r="K3" s="3">
        <v>0.3</v>
      </c>
      <c r="L3" s="3">
        <v>0.5</v>
      </c>
      <c r="M3" s="1" t="s">
        <v>144</v>
      </c>
      <c r="N3" s="1" t="s">
        <v>152</v>
      </c>
      <c r="O3" s="1" t="s">
        <v>158</v>
      </c>
      <c r="P3" s="1">
        <v>20</v>
      </c>
      <c r="Q3" s="1">
        <v>50</v>
      </c>
      <c r="R3" s="1" t="s">
        <v>186</v>
      </c>
      <c r="S3" s="1">
        <v>2</v>
      </c>
      <c r="T3" s="3">
        <v>20</v>
      </c>
      <c r="U3" s="3">
        <v>50</v>
      </c>
      <c r="V3" s="1" t="s">
        <v>164</v>
      </c>
      <c r="W3" s="1">
        <v>6</v>
      </c>
      <c r="X3" s="1" t="s">
        <v>166</v>
      </c>
      <c r="Y3" s="1" t="s">
        <v>169</v>
      </c>
      <c r="AA3" s="1" t="s">
        <v>59</v>
      </c>
      <c r="AB3" s="1">
        <v>44</v>
      </c>
      <c r="AC3" s="1">
        <v>45</v>
      </c>
    </row>
    <row r="4" spans="1:29" x14ac:dyDescent="0.3">
      <c r="A4" s="1" t="s">
        <v>62</v>
      </c>
      <c r="B4" s="1" t="s">
        <v>117</v>
      </c>
      <c r="C4" s="1" t="s">
        <v>121</v>
      </c>
      <c r="D4" s="1" t="s">
        <v>46</v>
      </c>
      <c r="E4" s="1" t="s">
        <v>25</v>
      </c>
      <c r="F4" s="1" t="s">
        <v>132</v>
      </c>
      <c r="G4" s="1" t="s">
        <v>143</v>
      </c>
      <c r="H4" s="1" t="s">
        <v>147</v>
      </c>
      <c r="I4" s="1" t="s">
        <v>185</v>
      </c>
      <c r="J4" s="1">
        <v>2</v>
      </c>
      <c r="K4" s="3">
        <v>0.03</v>
      </c>
      <c r="L4" s="3">
        <v>0.1</v>
      </c>
      <c r="M4" s="1" t="s">
        <v>150</v>
      </c>
      <c r="N4" s="1" t="s">
        <v>153</v>
      </c>
      <c r="O4" s="1" t="s">
        <v>159</v>
      </c>
      <c r="P4" s="1">
        <v>50</v>
      </c>
      <c r="Q4" s="1">
        <v>75</v>
      </c>
      <c r="R4" s="1" t="s">
        <v>186</v>
      </c>
      <c r="S4" s="1">
        <v>2</v>
      </c>
      <c r="T4" s="3">
        <v>50</v>
      </c>
      <c r="U4" s="3">
        <v>75</v>
      </c>
      <c r="V4" s="1" t="s">
        <v>164</v>
      </c>
      <c r="W4" s="1">
        <v>9</v>
      </c>
      <c r="X4" s="1" t="s">
        <v>166</v>
      </c>
      <c r="Y4" s="1" t="s">
        <v>170</v>
      </c>
      <c r="AA4" s="1" t="s">
        <v>62</v>
      </c>
      <c r="AB4" s="1">
        <v>46</v>
      </c>
      <c r="AC4" s="1">
        <v>47</v>
      </c>
    </row>
    <row r="5" spans="1:29" x14ac:dyDescent="0.3">
      <c r="A5" s="1" t="s">
        <v>61</v>
      </c>
      <c r="B5" s="1" t="s">
        <v>117</v>
      </c>
      <c r="C5" s="1" t="s">
        <v>122</v>
      </c>
      <c r="D5" s="1" t="s">
        <v>46</v>
      </c>
      <c r="E5" s="1" t="s">
        <v>24</v>
      </c>
      <c r="F5" s="1" t="s">
        <v>133</v>
      </c>
      <c r="G5" s="1" t="s">
        <v>144</v>
      </c>
      <c r="H5" s="1" t="s">
        <v>148</v>
      </c>
      <c r="I5" s="1" t="s">
        <v>185</v>
      </c>
      <c r="J5" s="1">
        <v>2</v>
      </c>
      <c r="K5" s="3">
        <v>0.1</v>
      </c>
      <c r="L5" s="3">
        <v>0.3</v>
      </c>
      <c r="M5" s="1" t="s">
        <v>149</v>
      </c>
      <c r="N5" s="1" t="s">
        <v>151</v>
      </c>
      <c r="O5" s="1" t="s">
        <v>157</v>
      </c>
      <c r="P5" s="1">
        <v>5</v>
      </c>
      <c r="Q5" s="1">
        <v>20</v>
      </c>
      <c r="R5" s="1" t="s">
        <v>186</v>
      </c>
      <c r="S5" s="1">
        <v>2</v>
      </c>
      <c r="T5" s="3">
        <v>5</v>
      </c>
      <c r="U5" s="3">
        <v>20</v>
      </c>
      <c r="V5" s="1" t="s">
        <v>164</v>
      </c>
      <c r="W5" s="1">
        <v>12</v>
      </c>
      <c r="X5" s="1" t="s">
        <v>166</v>
      </c>
      <c r="AA5" s="1" t="s">
        <v>61</v>
      </c>
      <c r="AB5" s="1">
        <v>48</v>
      </c>
      <c r="AC5" s="1">
        <v>49</v>
      </c>
    </row>
    <row r="6" spans="1:29" x14ac:dyDescent="0.3">
      <c r="A6" s="1" t="s">
        <v>63</v>
      </c>
      <c r="B6" s="1" t="s">
        <v>117</v>
      </c>
      <c r="C6" s="1" t="s">
        <v>123</v>
      </c>
      <c r="D6" s="1" t="s">
        <v>47</v>
      </c>
      <c r="E6" s="1" t="s">
        <v>32</v>
      </c>
      <c r="F6" s="1" t="s">
        <v>134</v>
      </c>
      <c r="G6" s="1" t="s">
        <v>144</v>
      </c>
      <c r="H6" s="1" t="s">
        <v>148</v>
      </c>
      <c r="I6" s="1" t="s">
        <v>185</v>
      </c>
      <c r="J6" s="1">
        <v>2</v>
      </c>
      <c r="K6" s="3">
        <v>0.1</v>
      </c>
      <c r="L6" s="3">
        <v>0.3</v>
      </c>
      <c r="M6" s="1" t="s">
        <v>144</v>
      </c>
      <c r="N6" s="1" t="s">
        <v>152</v>
      </c>
      <c r="O6" s="1" t="s">
        <v>158</v>
      </c>
      <c r="P6" s="1">
        <v>20</v>
      </c>
      <c r="Q6" s="1">
        <v>50</v>
      </c>
      <c r="R6" s="1" t="s">
        <v>186</v>
      </c>
      <c r="S6" s="1">
        <v>2</v>
      </c>
      <c r="T6" s="3">
        <v>20</v>
      </c>
      <c r="U6" s="3">
        <v>50</v>
      </c>
      <c r="V6" s="1" t="s">
        <v>164</v>
      </c>
      <c r="W6" s="1">
        <v>28</v>
      </c>
      <c r="X6" s="1" t="s">
        <v>166</v>
      </c>
      <c r="AA6" s="1" t="s">
        <v>63</v>
      </c>
      <c r="AB6" s="1">
        <v>50</v>
      </c>
      <c r="AC6" s="1">
        <v>51</v>
      </c>
    </row>
    <row r="7" spans="1:29" x14ac:dyDescent="0.3">
      <c r="A7" s="1" t="s">
        <v>65</v>
      </c>
      <c r="B7" s="1" t="s">
        <v>117</v>
      </c>
      <c r="C7" s="1" t="s">
        <v>124</v>
      </c>
      <c r="D7" s="1" t="s">
        <v>47</v>
      </c>
      <c r="E7" s="1" t="s">
        <v>38</v>
      </c>
      <c r="F7" s="1" t="s">
        <v>135</v>
      </c>
      <c r="G7" s="1" t="s">
        <v>143</v>
      </c>
      <c r="H7" s="1" t="s">
        <v>147</v>
      </c>
      <c r="I7" s="1" t="s">
        <v>185</v>
      </c>
      <c r="J7" s="1">
        <v>2</v>
      </c>
      <c r="K7" s="3">
        <v>0.03</v>
      </c>
      <c r="L7" s="3">
        <v>0.1</v>
      </c>
      <c r="M7" s="1" t="s">
        <v>149</v>
      </c>
      <c r="N7" s="1" t="s">
        <v>151</v>
      </c>
      <c r="O7" s="1" t="s">
        <v>157</v>
      </c>
      <c r="P7" s="1">
        <v>5</v>
      </c>
      <c r="Q7" s="1">
        <v>20</v>
      </c>
      <c r="R7" s="1" t="s">
        <v>186</v>
      </c>
      <c r="S7" s="1">
        <v>2</v>
      </c>
      <c r="T7" s="3">
        <v>5</v>
      </c>
      <c r="U7" s="3">
        <v>20</v>
      </c>
      <c r="V7" s="1" t="s">
        <v>164</v>
      </c>
      <c r="W7" s="1">
        <v>26</v>
      </c>
      <c r="X7" s="1" t="s">
        <v>166</v>
      </c>
      <c r="Y7" s="1" t="s">
        <v>171</v>
      </c>
      <c r="AA7" s="1" t="s">
        <v>65</v>
      </c>
      <c r="AB7" s="1">
        <v>52</v>
      </c>
      <c r="AC7" s="1">
        <v>53</v>
      </c>
    </row>
    <row r="8" spans="1:29" x14ac:dyDescent="0.3">
      <c r="A8" s="1" t="s">
        <v>67</v>
      </c>
      <c r="B8" s="1" t="s">
        <v>117</v>
      </c>
      <c r="C8" s="1" t="s">
        <v>125</v>
      </c>
      <c r="D8" s="1" t="s">
        <v>47</v>
      </c>
      <c r="E8" s="1" t="s">
        <v>42</v>
      </c>
      <c r="F8" s="1" t="s">
        <v>136</v>
      </c>
      <c r="G8" s="1" t="s">
        <v>141</v>
      </c>
      <c r="H8" s="1" t="s">
        <v>145</v>
      </c>
      <c r="I8" s="1" t="s">
        <v>185</v>
      </c>
      <c r="J8" s="1">
        <v>2</v>
      </c>
      <c r="K8" s="3">
        <v>0</v>
      </c>
      <c r="L8" s="3">
        <v>0.03</v>
      </c>
      <c r="M8" s="1" t="s">
        <v>144</v>
      </c>
      <c r="N8" s="1" t="s">
        <v>152</v>
      </c>
      <c r="O8" s="1" t="s">
        <v>158</v>
      </c>
      <c r="P8" s="1">
        <v>20</v>
      </c>
      <c r="Q8" s="1">
        <v>50</v>
      </c>
      <c r="R8" s="1" t="s">
        <v>186</v>
      </c>
      <c r="S8" s="1">
        <v>2</v>
      </c>
      <c r="T8" s="3">
        <v>20</v>
      </c>
      <c r="U8" s="3">
        <v>50</v>
      </c>
      <c r="V8" s="1" t="s">
        <v>164</v>
      </c>
      <c r="W8" s="1">
        <v>30</v>
      </c>
      <c r="X8" s="1" t="s">
        <v>166</v>
      </c>
      <c r="AA8" s="1" t="s">
        <v>67</v>
      </c>
      <c r="AB8" s="1">
        <v>54</v>
      </c>
      <c r="AC8" s="1">
        <v>55</v>
      </c>
    </row>
    <row r="9" spans="1:29" x14ac:dyDescent="0.3">
      <c r="A9" s="1" t="s">
        <v>66</v>
      </c>
      <c r="B9" s="1" t="s">
        <v>117</v>
      </c>
      <c r="C9" s="1" t="s">
        <v>126</v>
      </c>
      <c r="D9" s="1" t="s">
        <v>47</v>
      </c>
      <c r="E9" s="1" t="s">
        <v>40</v>
      </c>
      <c r="F9" s="1" t="s">
        <v>137</v>
      </c>
      <c r="G9" s="1" t="s">
        <v>144</v>
      </c>
      <c r="H9" s="1" t="s">
        <v>148</v>
      </c>
      <c r="I9" s="1" t="s">
        <v>185</v>
      </c>
      <c r="J9" s="1">
        <v>2</v>
      </c>
      <c r="K9" s="3">
        <v>0.1</v>
      </c>
      <c r="L9" s="3">
        <v>0.3</v>
      </c>
      <c r="M9" s="1" t="s">
        <v>144</v>
      </c>
      <c r="N9" s="1" t="s">
        <v>152</v>
      </c>
      <c r="O9" s="1" t="s">
        <v>158</v>
      </c>
      <c r="P9" s="1">
        <v>20</v>
      </c>
      <c r="Q9" s="1">
        <v>50</v>
      </c>
      <c r="R9" s="1" t="s">
        <v>186</v>
      </c>
      <c r="S9" s="1">
        <v>2</v>
      </c>
      <c r="T9" s="3">
        <v>20</v>
      </c>
      <c r="U9" s="3">
        <v>50</v>
      </c>
      <c r="V9" s="1" t="s">
        <v>164</v>
      </c>
      <c r="W9" s="1">
        <v>23</v>
      </c>
      <c r="X9" s="1" t="s">
        <v>166</v>
      </c>
      <c r="AA9" s="1" t="s">
        <v>66</v>
      </c>
      <c r="AB9" s="1">
        <v>56</v>
      </c>
      <c r="AC9" s="1">
        <v>57</v>
      </c>
    </row>
    <row r="10" spans="1:29" x14ac:dyDescent="0.3">
      <c r="A10" s="1" t="s">
        <v>64</v>
      </c>
      <c r="B10" s="1" t="s">
        <v>117</v>
      </c>
      <c r="C10" s="1" t="s">
        <v>127</v>
      </c>
      <c r="D10" s="1" t="s">
        <v>47</v>
      </c>
      <c r="E10" s="1" t="s">
        <v>35</v>
      </c>
      <c r="F10" s="1" t="s">
        <v>138</v>
      </c>
      <c r="G10" s="1" t="s">
        <v>143</v>
      </c>
      <c r="H10" s="1" t="s">
        <v>147</v>
      </c>
      <c r="I10" s="1" t="s">
        <v>185</v>
      </c>
      <c r="J10" s="1">
        <v>2</v>
      </c>
      <c r="K10" s="3">
        <v>0.03</v>
      </c>
      <c r="L10" s="3">
        <v>0.1</v>
      </c>
      <c r="M10" s="1" t="s">
        <v>144</v>
      </c>
      <c r="N10" s="1" t="s">
        <v>152</v>
      </c>
      <c r="O10" s="1" t="s">
        <v>158</v>
      </c>
      <c r="P10" s="1">
        <v>20</v>
      </c>
      <c r="Q10" s="1">
        <v>50</v>
      </c>
      <c r="R10" s="1" t="s">
        <v>186</v>
      </c>
      <c r="S10" s="1">
        <v>2</v>
      </c>
      <c r="T10" s="3">
        <v>5</v>
      </c>
      <c r="U10" s="3">
        <v>20</v>
      </c>
      <c r="V10" s="1" t="s">
        <v>164</v>
      </c>
      <c r="W10" s="1">
        <v>20</v>
      </c>
      <c r="X10" s="1" t="s">
        <v>166</v>
      </c>
      <c r="AA10" s="1" t="s">
        <v>64</v>
      </c>
      <c r="AB10" s="1">
        <v>58</v>
      </c>
      <c r="AC10" s="1">
        <v>59</v>
      </c>
    </row>
    <row r="11" spans="1:29" x14ac:dyDescent="0.3">
      <c r="A11" s="1" t="s">
        <v>68</v>
      </c>
      <c r="B11" s="1" t="s">
        <v>118</v>
      </c>
      <c r="C11" s="1" t="s">
        <v>120</v>
      </c>
      <c r="D11" s="1" t="s">
        <v>45</v>
      </c>
      <c r="E11" s="1" t="s">
        <v>14</v>
      </c>
      <c r="F11" s="1" t="s">
        <v>131</v>
      </c>
      <c r="G11" s="1" t="s">
        <v>142</v>
      </c>
      <c r="H11" s="1" t="s">
        <v>146</v>
      </c>
      <c r="I11" s="1" t="s">
        <v>185</v>
      </c>
      <c r="J11" s="1">
        <v>2</v>
      </c>
      <c r="K11" s="3">
        <v>0.3</v>
      </c>
      <c r="L11" s="3">
        <v>0.5</v>
      </c>
      <c r="M11" s="1" t="s">
        <v>143</v>
      </c>
      <c r="N11" s="1" t="s">
        <v>154</v>
      </c>
      <c r="O11" s="1" t="s">
        <v>160</v>
      </c>
      <c r="P11" s="1">
        <v>100</v>
      </c>
      <c r="Q11" s="1">
        <v>750</v>
      </c>
      <c r="R11" s="1" t="s">
        <v>185</v>
      </c>
      <c r="S11" s="1">
        <v>2</v>
      </c>
      <c r="T11" s="3">
        <v>100</v>
      </c>
      <c r="U11" s="3">
        <v>750</v>
      </c>
      <c r="V11" s="1" t="s">
        <v>165</v>
      </c>
      <c r="W11" s="1">
        <v>2</v>
      </c>
      <c r="X11" s="1" t="s">
        <v>167</v>
      </c>
      <c r="Y11" s="1" t="s">
        <v>169</v>
      </c>
      <c r="Z11" s="1" t="s">
        <v>172</v>
      </c>
      <c r="AA11" s="1" t="s">
        <v>59</v>
      </c>
      <c r="AB11" s="1">
        <v>60</v>
      </c>
      <c r="AC11" s="1">
        <v>61</v>
      </c>
    </row>
    <row r="12" spans="1:29" x14ac:dyDescent="0.3">
      <c r="A12" s="1" t="s">
        <v>69</v>
      </c>
      <c r="B12" s="1" t="s">
        <v>118</v>
      </c>
      <c r="C12" s="1" t="s">
        <v>128</v>
      </c>
      <c r="D12" s="1" t="s">
        <v>46</v>
      </c>
      <c r="E12" s="1" t="s">
        <v>20</v>
      </c>
      <c r="F12" s="1" t="s">
        <v>139</v>
      </c>
      <c r="G12" s="1" t="s">
        <v>143</v>
      </c>
      <c r="H12" s="1" t="s">
        <v>147</v>
      </c>
      <c r="I12" s="1" t="s">
        <v>185</v>
      </c>
      <c r="J12" s="1">
        <v>2</v>
      </c>
      <c r="K12" s="3">
        <v>0.03</v>
      </c>
      <c r="L12" s="3">
        <v>0.1</v>
      </c>
      <c r="M12" s="1" t="s">
        <v>144</v>
      </c>
      <c r="N12" s="1" t="s">
        <v>152</v>
      </c>
      <c r="O12" s="1" t="s">
        <v>161</v>
      </c>
      <c r="P12" s="1">
        <v>750</v>
      </c>
      <c r="Q12" s="1">
        <v>2500</v>
      </c>
      <c r="R12" s="1" t="s">
        <v>185</v>
      </c>
      <c r="S12" s="1">
        <v>2</v>
      </c>
      <c r="T12" s="3">
        <v>750</v>
      </c>
      <c r="U12" s="3">
        <v>2500</v>
      </c>
      <c r="V12" s="1" t="s">
        <v>165</v>
      </c>
      <c r="W12" s="1">
        <v>8</v>
      </c>
      <c r="X12" s="1" t="s">
        <v>167</v>
      </c>
      <c r="Z12" s="1" t="s">
        <v>173</v>
      </c>
      <c r="AB12" s="1">
        <v>62</v>
      </c>
      <c r="AC12" s="1">
        <v>63</v>
      </c>
    </row>
    <row r="13" spans="1:29" x14ac:dyDescent="0.3">
      <c r="A13" s="1" t="s">
        <v>70</v>
      </c>
      <c r="B13" s="1" t="s">
        <v>118</v>
      </c>
      <c r="C13" s="1" t="s">
        <v>121</v>
      </c>
      <c r="D13" s="1" t="s">
        <v>46</v>
      </c>
      <c r="E13" s="1" t="s">
        <v>25</v>
      </c>
      <c r="F13" s="1" t="s">
        <v>132</v>
      </c>
      <c r="G13" s="1" t="s">
        <v>143</v>
      </c>
      <c r="H13" s="1" t="s">
        <v>147</v>
      </c>
      <c r="I13" s="1" t="s">
        <v>185</v>
      </c>
      <c r="J13" s="1">
        <v>2</v>
      </c>
      <c r="K13" s="3">
        <v>0.03</v>
      </c>
      <c r="L13" s="3">
        <v>0.1</v>
      </c>
      <c r="M13" s="1" t="s">
        <v>143</v>
      </c>
      <c r="N13" s="1" t="s">
        <v>154</v>
      </c>
      <c r="O13" s="1" t="s">
        <v>160</v>
      </c>
      <c r="P13" s="1">
        <v>100</v>
      </c>
      <c r="Q13" s="1">
        <v>750</v>
      </c>
      <c r="R13" s="1" t="s">
        <v>185</v>
      </c>
      <c r="S13" s="1">
        <v>2</v>
      </c>
      <c r="T13" s="3">
        <v>100</v>
      </c>
      <c r="U13" s="3">
        <v>750</v>
      </c>
      <c r="V13" s="1" t="s">
        <v>165</v>
      </c>
      <c r="W13" s="1">
        <v>13</v>
      </c>
      <c r="X13" s="1" t="s">
        <v>167</v>
      </c>
      <c r="Y13" s="1" t="s">
        <v>170</v>
      </c>
      <c r="Z13" s="1" t="s">
        <v>174</v>
      </c>
      <c r="AA13" s="1" t="s">
        <v>62</v>
      </c>
      <c r="AB13" s="1">
        <v>64</v>
      </c>
      <c r="AC13" s="1">
        <v>65</v>
      </c>
    </row>
    <row r="14" spans="1:29" x14ac:dyDescent="0.3">
      <c r="A14" s="1" t="s">
        <v>71</v>
      </c>
      <c r="B14" s="1" t="s">
        <v>118</v>
      </c>
      <c r="C14" s="1" t="s">
        <v>124</v>
      </c>
      <c r="D14" s="1" t="s">
        <v>47</v>
      </c>
      <c r="E14" s="1" t="s">
        <v>38</v>
      </c>
      <c r="F14" s="1" t="s">
        <v>135</v>
      </c>
      <c r="G14" s="1" t="s">
        <v>143</v>
      </c>
      <c r="H14" s="1" t="s">
        <v>147</v>
      </c>
      <c r="I14" s="1" t="s">
        <v>185</v>
      </c>
      <c r="J14" s="1">
        <v>2</v>
      </c>
      <c r="K14" s="3">
        <v>0.03</v>
      </c>
      <c r="L14" s="3">
        <v>0.1</v>
      </c>
      <c r="M14" s="1" t="s">
        <v>144</v>
      </c>
      <c r="N14" s="1" t="s">
        <v>152</v>
      </c>
      <c r="O14" s="1" t="s">
        <v>161</v>
      </c>
      <c r="P14" s="1">
        <v>750</v>
      </c>
      <c r="Q14" s="1">
        <v>2500</v>
      </c>
      <c r="R14" s="1" t="s">
        <v>185</v>
      </c>
      <c r="S14" s="1">
        <v>2</v>
      </c>
      <c r="T14" s="3">
        <v>750</v>
      </c>
      <c r="U14" s="3">
        <v>2500</v>
      </c>
      <c r="V14" s="1" t="s">
        <v>165</v>
      </c>
      <c r="W14" s="1">
        <v>26</v>
      </c>
      <c r="X14" s="1" t="s">
        <v>167</v>
      </c>
      <c r="Y14" s="1" t="s">
        <v>171</v>
      </c>
      <c r="Z14" s="1" t="s">
        <v>175</v>
      </c>
      <c r="AA14" s="1" t="s">
        <v>65</v>
      </c>
      <c r="AB14" s="1">
        <v>66</v>
      </c>
      <c r="AC14" s="1">
        <v>67</v>
      </c>
    </row>
    <row r="15" spans="1:29" x14ac:dyDescent="0.3">
      <c r="A15" s="1" t="s">
        <v>72</v>
      </c>
      <c r="B15" s="1" t="s">
        <v>118</v>
      </c>
      <c r="C15" s="1" t="s">
        <v>125</v>
      </c>
      <c r="D15" s="1" t="s">
        <v>47</v>
      </c>
      <c r="E15" s="1" t="s">
        <v>42</v>
      </c>
      <c r="F15" s="1" t="s">
        <v>136</v>
      </c>
      <c r="G15" s="1" t="s">
        <v>141</v>
      </c>
      <c r="H15" s="1" t="s">
        <v>145</v>
      </c>
      <c r="I15" s="1" t="s">
        <v>185</v>
      </c>
      <c r="J15" s="1">
        <v>2</v>
      </c>
      <c r="K15" s="3">
        <v>0</v>
      </c>
      <c r="L15" s="3">
        <v>0.03</v>
      </c>
      <c r="M15" s="1" t="s">
        <v>141</v>
      </c>
      <c r="N15" s="1" t="s">
        <v>155</v>
      </c>
      <c r="O15" s="1" t="s">
        <v>162</v>
      </c>
      <c r="P15" s="1">
        <v>0</v>
      </c>
      <c r="Q15" s="1">
        <v>100</v>
      </c>
      <c r="R15" s="1" t="s">
        <v>185</v>
      </c>
      <c r="S15" s="1">
        <v>2</v>
      </c>
      <c r="T15" s="3">
        <v>0</v>
      </c>
      <c r="U15" s="3">
        <v>100</v>
      </c>
      <c r="V15" s="1" t="s">
        <v>165</v>
      </c>
      <c r="W15" s="1">
        <v>30</v>
      </c>
      <c r="X15" s="1" t="s">
        <v>167</v>
      </c>
      <c r="Z15" s="1" t="s">
        <v>176</v>
      </c>
      <c r="AA15" s="1" t="s">
        <v>67</v>
      </c>
      <c r="AB15" s="1">
        <v>68</v>
      </c>
      <c r="AC15" s="1">
        <v>69</v>
      </c>
    </row>
    <row r="16" spans="1:29" x14ac:dyDescent="0.3">
      <c r="A16" s="1" t="s">
        <v>73</v>
      </c>
      <c r="B16" s="1" t="s">
        <v>118</v>
      </c>
      <c r="C16" s="1" t="s">
        <v>129</v>
      </c>
      <c r="D16" s="1" t="s">
        <v>47</v>
      </c>
      <c r="E16" s="1" t="s">
        <v>43</v>
      </c>
      <c r="F16" s="1" t="s">
        <v>140</v>
      </c>
      <c r="G16" s="1" t="s">
        <v>143</v>
      </c>
      <c r="H16" s="1" t="s">
        <v>147</v>
      </c>
      <c r="I16" s="1" t="s">
        <v>185</v>
      </c>
      <c r="J16" s="1">
        <v>2</v>
      </c>
      <c r="K16" s="3">
        <v>0.03</v>
      </c>
      <c r="L16" s="3">
        <v>0.1</v>
      </c>
      <c r="M16" s="1" t="s">
        <v>142</v>
      </c>
      <c r="N16" s="1" t="s">
        <v>156</v>
      </c>
      <c r="O16" s="1" t="s">
        <v>163</v>
      </c>
      <c r="P16" s="1">
        <v>2500</v>
      </c>
      <c r="Q16" s="1">
        <v>6000</v>
      </c>
      <c r="R16" s="1" t="s">
        <v>185</v>
      </c>
      <c r="S16" s="1">
        <v>2</v>
      </c>
      <c r="T16" s="3">
        <v>2500</v>
      </c>
      <c r="U16" s="3">
        <v>6000</v>
      </c>
      <c r="V16" s="1" t="s">
        <v>165</v>
      </c>
      <c r="W16" s="1">
        <v>31</v>
      </c>
      <c r="X16" s="1" t="s">
        <v>167</v>
      </c>
      <c r="Z16" s="1" t="s">
        <v>177</v>
      </c>
      <c r="AB16" s="1">
        <v>70</v>
      </c>
      <c r="AC16" s="1">
        <v>71</v>
      </c>
    </row>
  </sheetData>
  <autoFilter ref="A1:AC1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Risks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Jönsson</dc:creator>
  <cp:lastModifiedBy>Johan Jönsson</cp:lastModifiedBy>
  <dcterms:created xsi:type="dcterms:W3CDTF">2026-05-19T03:11:55Z</dcterms:created>
  <dcterms:modified xsi:type="dcterms:W3CDTF">2026-05-19T08:06:45Z</dcterms:modified>
</cp:coreProperties>
</file>